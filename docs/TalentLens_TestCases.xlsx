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Smoke (5 min)" sheetId="4" state="visible" r:id="rId4"/>
    <sheet xmlns:r="http://schemas.openxmlformats.org/officeDocument/2006/relationships" name="Bug Log" sheetId="5" state="visible" r:id="rId5"/>
  </sheets>
  <definedNames>
    <definedName name="_xlnm._FilterDatabase" localSheetId="1" hidden="1">'Test Cases'!$A$1:$M$104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666666"/>
    </font>
    <font>
      <b val="1"/>
    </font>
    <font>
      <b val="1"/>
      <color rgb="00F5C518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TalentLens — End-to-End Test Summary</t>
        </is>
      </c>
    </row>
    <row r="2">
      <c r="A2" s="2" t="inlineStr">
        <is>
          <t>Statuses update live from the Test Cases sheet.</t>
        </is>
      </c>
    </row>
    <row r="4">
      <c r="A4" s="3" t="inlineStr">
        <is>
          <t>Total cases</t>
        </is>
      </c>
      <c r="B4">
        <f>COUNTA('Test Cases'!A2:A400)</f>
        <v/>
      </c>
    </row>
    <row r="5">
      <c r="A5" s="3" t="inlineStr">
        <is>
          <t>Passed</t>
        </is>
      </c>
      <c r="B5">
        <f>COUNTIF('Test Cases'!H2:H400,"Pass")</f>
        <v/>
      </c>
    </row>
    <row r="6">
      <c r="A6" s="3" t="inlineStr">
        <is>
          <t>Failed</t>
        </is>
      </c>
      <c r="B6">
        <f>COUNTIF('Test Cases'!H2:H400,"Fail")</f>
        <v/>
      </c>
    </row>
    <row r="7">
      <c r="A7" s="3" t="inlineStr">
        <is>
          <t>Blocked</t>
        </is>
      </c>
      <c r="B7">
        <f>COUNTIF('Test Cases'!H2:H400,"Blocked")</f>
        <v/>
      </c>
    </row>
    <row r="8">
      <c r="A8" s="3" t="inlineStr">
        <is>
          <t>Not run</t>
        </is>
      </c>
      <c r="B8">
        <f>COUNTA('Test Cases'!A2:A400)-COUNTIF('Test Cases'!H2:H400,"Pass")-COUNTIF('Test Cases'!H2:H400,"Fail")-COUNTIF('Test Cases'!H2:H400,"Blocked")</f>
        <v/>
      </c>
    </row>
    <row r="9">
      <c r="A9" s="3" t="inlineStr">
        <is>
          <t>Pass rate</t>
        </is>
      </c>
      <c r="B9" s="4">
        <f>IF(COUNTA('Test Cases'!A2:A400)=0,0,COUNTIF('Test Cases'!H2:H400,"Pass")/COUNTA('Test Cases'!A2:A400))</f>
        <v/>
      </c>
    </row>
    <row r="10">
      <c r="A10" s="3" t="inlineStr">
        <is>
          <t>P0 total</t>
        </is>
      </c>
      <c r="B10">
        <f>COUNTIF('Test Cases'!C2:C400,"P0")</f>
        <v/>
      </c>
    </row>
    <row r="11">
      <c r="A11" s="3" t="inlineStr">
        <is>
          <t>P0 passed</t>
        </is>
      </c>
      <c r="B11">
        <f>COUNTIFS('Test Cases'!C2:C400,"P0",'Test Cases'!H2:H400,"Pass")</f>
        <v/>
      </c>
    </row>
    <row r="12">
      <c r="A12" s="3" t="inlineStr">
        <is>
          <t>P0 failed</t>
        </is>
      </c>
      <c r="B12">
        <f>COUNTIFS('Test Cases'!C2:C400,"P0",'Test Cases'!H2:H400,"Fail")</f>
        <v/>
      </c>
    </row>
    <row r="13">
      <c r="A13" s="3" t="inlineStr">
        <is>
          <t>Release gate (100% P0 pass, 0 P0 fail)</t>
        </is>
      </c>
      <c r="B13">
        <f>IF(AND(B10=B8,B9=0),"GO","NO-GO")</f>
        <v/>
      </c>
    </row>
    <row r="16">
      <c r="A16" s="3" t="inlineStr">
        <is>
          <t>Per-area results</t>
        </is>
      </c>
    </row>
    <row r="17">
      <c r="A17" s="5" t="inlineStr">
        <is>
          <t>Area</t>
        </is>
      </c>
      <c r="B17" s="5" t="inlineStr">
        <is>
          <t>Total</t>
        </is>
      </c>
      <c r="C17" s="5" t="inlineStr">
        <is>
          <t>Pass</t>
        </is>
      </c>
      <c r="D17" s="5" t="inlineStr">
        <is>
          <t>Fail</t>
        </is>
      </c>
      <c r="E17" s="5" t="inlineStr">
        <is>
          <t>Blocked</t>
        </is>
      </c>
    </row>
    <row r="18">
      <c r="A18" t="inlineStr">
        <is>
          <t>Auth &amp; Nav</t>
        </is>
      </c>
      <c r="B18">
        <f>COUNTIF('Test Cases'!B2:B400,A18)</f>
        <v/>
      </c>
      <c r="C18">
        <f>COUNTIFS('Test Cases'!B2:B400,A18,'Test Cases'!H2:H400,"Pass")</f>
        <v/>
      </c>
      <c r="D18">
        <f>COUNTIFS('Test Cases'!B2:B400,A18,'Test Cases'!H2:H400,"Fail")</f>
        <v/>
      </c>
      <c r="E18">
        <f>COUNTIFS('Test Cases'!B2:B400,A18,'Test Cases'!H2:H400,"Blocked")</f>
        <v/>
      </c>
    </row>
    <row r="19">
      <c r="A19" t="inlineStr">
        <is>
          <t>Job description</t>
        </is>
      </c>
      <c r="B19">
        <f>COUNTIF('Test Cases'!B2:B400,A19)</f>
        <v/>
      </c>
      <c r="C19">
        <f>COUNTIFS('Test Cases'!B2:B400,A19,'Test Cases'!H2:H400,"Pass")</f>
        <v/>
      </c>
      <c r="D19">
        <f>COUNTIFS('Test Cases'!B2:B400,A19,'Test Cases'!H2:H400,"Fail")</f>
        <v/>
      </c>
      <c r="E19">
        <f>COUNTIFS('Test Cases'!B2:B400,A19,'Test Cases'!H2:H400,"Blocked")</f>
        <v/>
      </c>
    </row>
    <row r="20">
      <c r="A20" t="inlineStr">
        <is>
          <t>Screening accuracy</t>
        </is>
      </c>
      <c r="B20">
        <f>COUNTIF('Test Cases'!B2:B400,A20)</f>
        <v/>
      </c>
      <c r="C20">
        <f>COUNTIFS('Test Cases'!B2:B400,A20,'Test Cases'!H2:H400,"Pass")</f>
        <v/>
      </c>
      <c r="D20">
        <f>COUNTIFS('Test Cases'!B2:B400,A20,'Test Cases'!H2:H400,"Fail")</f>
        <v/>
      </c>
      <c r="E20">
        <f>COUNTIFS('Test Cases'!B2:B400,A20,'Test Cases'!H2:H400,"Blocked")</f>
        <v/>
      </c>
    </row>
    <row r="21">
      <c r="A21" t="inlineStr">
        <is>
          <t>Results</t>
        </is>
      </c>
      <c r="B21">
        <f>COUNTIF('Test Cases'!B2:B400,A21)</f>
        <v/>
      </c>
      <c r="C21">
        <f>COUNTIFS('Test Cases'!B2:B400,A21,'Test Cases'!H2:H400,"Pass")</f>
        <v/>
      </c>
      <c r="D21">
        <f>COUNTIFS('Test Cases'!B2:B400,A21,'Test Cases'!H2:H400,"Fail")</f>
        <v/>
      </c>
      <c r="E21">
        <f>COUNTIFS('Test Cases'!B2:B400,A21,'Test Cases'!H2:H400,"Blocked")</f>
        <v/>
      </c>
    </row>
    <row r="22">
      <c r="A22" t="inlineStr">
        <is>
          <t>Gmail</t>
        </is>
      </c>
      <c r="B22">
        <f>COUNTIF('Test Cases'!B2:B400,A22)</f>
        <v/>
      </c>
      <c r="C22">
        <f>COUNTIFS('Test Cases'!B2:B400,A22,'Test Cases'!H2:H400,"Pass")</f>
        <v/>
      </c>
      <c r="D22">
        <f>COUNTIFS('Test Cases'!B2:B400,A22,'Test Cases'!H2:H400,"Fail")</f>
        <v/>
      </c>
      <c r="E22">
        <f>COUNTIFS('Test Cases'!B2:B400,A22,'Test Cases'!H2:H400,"Blocked")</f>
        <v/>
      </c>
    </row>
    <row r="23">
      <c r="A23" t="inlineStr">
        <is>
          <t>History</t>
        </is>
      </c>
      <c r="B23">
        <f>COUNTIF('Test Cases'!B2:B400,A23)</f>
        <v/>
      </c>
      <c r="C23">
        <f>COUNTIFS('Test Cases'!B2:B400,A23,'Test Cases'!H2:H400,"Pass")</f>
        <v/>
      </c>
      <c r="D23">
        <f>COUNTIFS('Test Cases'!B2:B400,A23,'Test Cases'!H2:H400,"Fail")</f>
        <v/>
      </c>
      <c r="E23">
        <f>COUNTIFS('Test Cases'!B2:B400,A23,'Test Cases'!H2:H400,"Blocked")</f>
        <v/>
      </c>
    </row>
    <row r="24">
      <c r="A24" t="inlineStr">
        <is>
          <t>Talent pool</t>
        </is>
      </c>
      <c r="B24">
        <f>COUNTIF('Test Cases'!B2:B400,A24)</f>
        <v/>
      </c>
      <c r="C24">
        <f>COUNTIFS('Test Cases'!B2:B400,A24,'Test Cases'!H2:H400,"Pass")</f>
        <v/>
      </c>
      <c r="D24">
        <f>COUNTIFS('Test Cases'!B2:B400,A24,'Test Cases'!H2:H400,"Fail")</f>
        <v/>
      </c>
      <c r="E24">
        <f>COUNTIFS('Test Cases'!B2:B400,A24,'Test Cases'!H2:H400,"Blocked")</f>
        <v/>
      </c>
    </row>
    <row r="25">
      <c r="A25" t="inlineStr">
        <is>
          <t>Analytics</t>
        </is>
      </c>
      <c r="B25">
        <f>COUNTIF('Test Cases'!B2:B400,A25)</f>
        <v/>
      </c>
      <c r="C25">
        <f>COUNTIFS('Test Cases'!B2:B400,A25,'Test Cases'!H2:H400,"Pass")</f>
        <v/>
      </c>
      <c r="D25">
        <f>COUNTIFS('Test Cases'!B2:B400,A25,'Test Cases'!H2:H400,"Fail")</f>
        <v/>
      </c>
      <c r="E25">
        <f>COUNTIFS('Test Cases'!B2:B400,A25,'Test Cases'!H2:H400,"Blocked")</f>
        <v/>
      </c>
    </row>
    <row r="26">
      <c r="A26" t="inlineStr">
        <is>
          <t>Profile</t>
        </is>
      </c>
      <c r="B26">
        <f>COUNTIF('Test Cases'!B2:B400,A26)</f>
        <v/>
      </c>
      <c r="C26">
        <f>COUNTIFS('Test Cases'!B2:B400,A26,'Test Cases'!H2:H400,"Pass")</f>
        <v/>
      </c>
      <c r="D26">
        <f>COUNTIFS('Test Cases'!B2:B400,A26,'Test Cases'!H2:H400,"Fail")</f>
        <v/>
      </c>
      <c r="E26">
        <f>COUNTIFS('Test Cases'!B2:B400,A26,'Test Cases'!H2:H400,"Blocked")</f>
        <v/>
      </c>
    </row>
    <row r="27">
      <c r="A27" t="inlineStr">
        <is>
          <t>Settings</t>
        </is>
      </c>
      <c r="B27">
        <f>COUNTIF('Test Cases'!B2:B400,A27)</f>
        <v/>
      </c>
      <c r="C27">
        <f>COUNTIFS('Test Cases'!B2:B400,A27,'Test Cases'!H2:H400,"Pass")</f>
        <v/>
      </c>
      <c r="D27">
        <f>COUNTIFS('Test Cases'!B2:B400,A27,'Test Cases'!H2:H400,"Fail")</f>
        <v/>
      </c>
      <c r="E27">
        <f>COUNTIFS('Test Cases'!B2:B400,A27,'Test Cases'!H2:H400,"Blocked")</f>
        <v/>
      </c>
    </row>
    <row r="28">
      <c r="A28" t="inlineStr">
        <is>
          <t>Security</t>
        </is>
      </c>
      <c r="B28">
        <f>COUNTIF('Test Cases'!B2:B400,A28)</f>
        <v/>
      </c>
      <c r="C28">
        <f>COUNTIFS('Test Cases'!B2:B400,A28,'Test Cases'!H2:H400,"Pass")</f>
        <v/>
      </c>
      <c r="D28">
        <f>COUNTIFS('Test Cases'!B2:B400,A28,'Test Cases'!H2:H400,"Fail")</f>
        <v/>
      </c>
      <c r="E28">
        <f>COUNTIFS('Test Cases'!B2:B400,A28,'Test Cases'!H2:H400,"Blocked")</f>
        <v/>
      </c>
    </row>
    <row r="29">
      <c r="A29" t="inlineStr">
        <is>
          <t>API</t>
        </is>
      </c>
      <c r="B29">
        <f>COUNTIF('Test Cases'!B2:B400,A29)</f>
        <v/>
      </c>
      <c r="C29">
        <f>COUNTIFS('Test Cases'!B2:B400,A29,'Test Cases'!H2:H400,"Pass")</f>
        <v/>
      </c>
      <c r="D29">
        <f>COUNTIFS('Test Cases'!B2:B400,A29,'Test Cases'!H2:H400,"Fail")</f>
        <v/>
      </c>
      <c r="E29">
        <f>COUNTIFS('Test Cases'!B2:B400,A29,'Test Cases'!H2:H400,"Blocked")</f>
        <v/>
      </c>
    </row>
    <row r="30">
      <c r="A30" t="inlineStr">
        <is>
          <t>Non-functional</t>
        </is>
      </c>
      <c r="B30">
        <f>COUNTIF('Test Cases'!B2:B400,A30)</f>
        <v/>
      </c>
      <c r="C30">
        <f>COUNTIFS('Test Cases'!B2:B400,A30,'Test Cases'!H2:H400,"Pass")</f>
        <v/>
      </c>
      <c r="D30">
        <f>COUNTIFS('Test Cases'!B2:B400,A30,'Test Cases'!H2:H400,"Fail")</f>
        <v/>
      </c>
      <c r="E30">
        <f>COUNTIFS('Test Cases'!B2:B400,A30,'Test Cases'!H2:H400,"Blocked")</f>
        <v/>
      </c>
    </row>
  </sheetData>
  <conditionalFormatting sqref="B13">
    <cfRule type="cellIs" priority="1" operator="equal" dxfId="0">
      <formula>"GO"</formula>
    </cfRule>
    <cfRule type="cellIs" priority="2" operator="equal" dxfId="1">
      <formula>"NO-GO"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30" customWidth="1" min="4" max="4"/>
    <col width="26" customWidth="1" min="5" max="5"/>
    <col width="44" customWidth="1" min="6" max="6"/>
    <col width="52" customWidth="1" min="7" max="7"/>
    <col width="11" customWidth="1" min="8" max="8"/>
    <col width="34" customWidth="1" min="9" max="9"/>
    <col width="14" customWidth="1" min="10" max="10"/>
    <col width="12" customWidth="1" min="11" max="11"/>
    <col width="10" customWidth="1" min="12" max="12"/>
    <col width="28" customWidth="1" min="13" max="13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Priority</t>
        </is>
      </c>
      <c r="D1" s="5" t="inlineStr">
        <is>
          <t>Title</t>
        </is>
      </c>
      <c r="E1" s="5" t="inlineStr">
        <is>
          <t>Preconditions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Status</t>
        </is>
      </c>
      <c r="I1" s="5" t="inlineStr">
        <is>
          <t>Actual result</t>
        </is>
      </c>
      <c r="J1" s="5" t="inlineStr">
        <is>
          <t>Tester</t>
        </is>
      </c>
      <c r="K1" s="5" t="inlineStr">
        <is>
          <t>Date</t>
        </is>
      </c>
      <c r="L1" s="5" t="inlineStr">
        <is>
          <t>Bug ID</t>
        </is>
      </c>
      <c r="M1" s="5" t="inlineStr">
        <is>
          <t>Notes</t>
        </is>
      </c>
    </row>
    <row r="2">
      <c r="A2" s="6" t="inlineStr">
        <is>
          <t>AUTH-01</t>
        </is>
      </c>
      <c r="B2" s="6" t="inlineStr">
        <is>
          <t>Auth &amp; Nav</t>
        </is>
      </c>
      <c r="C2" s="6" t="inlineStr">
        <is>
          <t>P0</t>
        </is>
      </c>
      <c r="D2" s="6" t="inlineStr">
        <is>
          <t>Landing page for visitors</t>
        </is>
      </c>
      <c r="E2" s="6" t="inlineStr">
        <is>
          <t>Signed out</t>
        </is>
      </c>
      <c r="F2" s="6" t="inlineStr">
        <is>
          <t>Open /</t>
        </is>
      </c>
      <c r="G2" s="6" t="inlineStr">
        <is>
          <t>Landing page with Sign in / Get started; no console errors</t>
        </is>
      </c>
      <c r="H2" s="6" t="n"/>
      <c r="I2" s="6" t="n"/>
      <c r="J2" s="6" t="n"/>
      <c r="K2" s="6" t="n"/>
      <c r="L2" s="6" t="n"/>
      <c r="M2" s="6" t="n"/>
    </row>
    <row r="3">
      <c r="A3" s="6" t="inlineStr">
        <is>
          <t>AUTH-02</t>
        </is>
      </c>
      <c r="B3" s="6" t="inlineStr">
        <is>
          <t>Auth &amp; Nav</t>
        </is>
      </c>
      <c r="C3" s="6" t="inlineStr">
        <is>
          <t>P0</t>
        </is>
      </c>
      <c r="D3" s="6" t="inlineStr">
        <is>
          <t>Get started deep-links to sign-up</t>
        </is>
      </c>
      <c r="E3" s="6" t="inlineStr">
        <is>
          <t>Signed out</t>
        </is>
      </c>
      <c r="F3" s="6" t="inlineStr">
        <is>
          <t>Click Get started</t>
        </is>
      </c>
      <c r="G3" s="6" t="inlineStr">
        <is>
          <t>/login?mode=up with Create account tab selected</t>
        </is>
      </c>
      <c r="H3" s="6" t="n"/>
      <c r="I3" s="6" t="n"/>
      <c r="J3" s="6" t="n"/>
      <c r="K3" s="6" t="n"/>
      <c r="L3" s="6" t="n"/>
      <c r="M3" s="6" t="n"/>
    </row>
    <row r="4">
      <c r="A4" s="6" t="inlineStr">
        <is>
          <t>AUTH-03</t>
        </is>
      </c>
      <c r="B4" s="6" t="inlineStr">
        <is>
          <t>Auth &amp; Nav</t>
        </is>
      </c>
      <c r="C4" s="6" t="inlineStr">
        <is>
          <t>P0</t>
        </is>
      </c>
      <c r="D4" s="6" t="inlineStr">
        <is>
          <t>Create account</t>
        </is>
      </c>
      <c r="E4" s="6" t="inlineStr">
        <is>
          <t>Supabase configured</t>
        </is>
      </c>
      <c r="F4" s="6" t="inlineStr">
        <is>
          <t>Fill name, email, password; submit</t>
        </is>
      </c>
      <c r="G4" s="6" t="inlineStr">
        <is>
          <t>Success toast; dashboard or 'check your email'; profiles row created with full name</t>
        </is>
      </c>
      <c r="H4" s="6" t="n"/>
      <c r="I4" s="6" t="n"/>
      <c r="J4" s="6" t="n"/>
      <c r="K4" s="6" t="n"/>
      <c r="L4" s="6" t="n"/>
      <c r="M4" s="6" t="n"/>
    </row>
    <row r="5">
      <c r="A5" s="6" t="inlineStr">
        <is>
          <t>AUTH-04</t>
        </is>
      </c>
      <c r="B5" s="6" t="inlineStr">
        <is>
          <t>Auth &amp; Nav</t>
        </is>
      </c>
      <c r="C5" s="6" t="inlineStr">
        <is>
          <t>P0</t>
        </is>
      </c>
      <c r="D5" s="6" t="inlineStr">
        <is>
          <t>Wrong password</t>
        </is>
      </c>
      <c r="E5" s="6" t="inlineStr">
        <is>
          <t>Account exists</t>
        </is>
      </c>
      <c r="F5" s="6" t="inlineStr">
        <is>
          <t>Sign in with wrong password</t>
        </is>
      </c>
      <c r="G5" s="6" t="inlineStr">
        <is>
          <t>Error toast with message; stays on login</t>
        </is>
      </c>
      <c r="H5" s="6" t="n"/>
      <c r="I5" s="6" t="n"/>
      <c r="J5" s="6" t="n"/>
      <c r="K5" s="6" t="n"/>
      <c r="L5" s="6" t="n"/>
      <c r="M5" s="6" t="n"/>
    </row>
    <row r="6">
      <c r="A6" s="6" t="inlineStr">
        <is>
          <t>AUTH-05</t>
        </is>
      </c>
      <c r="B6" s="6" t="inlineStr">
        <is>
          <t>Auth &amp; Nav</t>
        </is>
      </c>
      <c r="C6" s="6" t="inlineStr">
        <is>
          <t>P0</t>
        </is>
      </c>
      <c r="D6" s="6" t="inlineStr">
        <is>
          <t>Sign in</t>
        </is>
      </c>
      <c r="E6" s="6" t="inlineStr">
        <is>
          <t>Account exists</t>
        </is>
      </c>
      <c r="F6" s="6" t="inlineStr">
        <is>
          <t>Sign in correctly</t>
        </is>
      </c>
      <c r="G6" s="6" t="inlineStr">
        <is>
          <t>Dashboard shows 'Welcome back, &lt;first name&gt;'</t>
        </is>
      </c>
      <c r="H6" s="6" t="n"/>
      <c r="I6" s="6" t="n"/>
      <c r="J6" s="6" t="n"/>
      <c r="K6" s="6" t="n"/>
      <c r="L6" s="6" t="n"/>
      <c r="M6" s="6" t="n"/>
    </row>
    <row r="7">
      <c r="A7" s="6" t="inlineStr">
        <is>
          <t>AUTH-06</t>
        </is>
      </c>
      <c r="B7" s="6" t="inlineStr">
        <is>
          <t>Auth &amp; Nav</t>
        </is>
      </c>
      <c r="C7" s="6" t="inlineStr">
        <is>
          <t>P0</t>
        </is>
      </c>
      <c r="D7" s="6" t="inlineStr">
        <is>
          <t>Protected route redirect</t>
        </is>
      </c>
      <c r="E7" s="6" t="inlineStr">
        <is>
          <t>Signed out</t>
        </is>
      </c>
      <c r="F7" s="6" t="inlineStr">
        <is>
          <t>Open /history</t>
        </is>
      </c>
      <c r="G7" s="6" t="inlineStr">
        <is>
          <t>Redirected to /login</t>
        </is>
      </c>
      <c r="H7" s="6" t="n"/>
      <c r="I7" s="6" t="n"/>
      <c r="J7" s="6" t="n"/>
      <c r="K7" s="6" t="n"/>
      <c r="L7" s="6" t="n"/>
      <c r="M7" s="6" t="n"/>
    </row>
    <row r="8">
      <c r="A8" s="6" t="inlineStr">
        <is>
          <t>AUTH-07</t>
        </is>
      </c>
      <c r="B8" s="6" t="inlineStr">
        <is>
          <t>Auth &amp; Nav</t>
        </is>
      </c>
      <c r="C8" s="6" t="inlineStr">
        <is>
          <t>P1</t>
        </is>
      </c>
      <c r="D8" s="6" t="inlineStr">
        <is>
          <t>Login redirect when signed in</t>
        </is>
      </c>
      <c r="E8" s="6" t="inlineStr">
        <is>
          <t>Signed in</t>
        </is>
      </c>
      <c r="F8" s="6" t="inlineStr">
        <is>
          <t>Open /login</t>
        </is>
      </c>
      <c r="G8" s="6" t="inlineStr">
        <is>
          <t>Redirected to /</t>
        </is>
      </c>
      <c r="H8" s="6" t="n"/>
      <c r="I8" s="6" t="n"/>
      <c r="J8" s="6" t="n"/>
      <c r="K8" s="6" t="n"/>
      <c r="L8" s="6" t="n"/>
      <c r="M8" s="6" t="n"/>
    </row>
    <row r="9">
      <c r="A9" s="6" t="inlineStr">
        <is>
          <t>AUTH-08</t>
        </is>
      </c>
      <c r="B9" s="6" t="inlineStr">
        <is>
          <t>Auth &amp; Nav</t>
        </is>
      </c>
      <c r="C9" s="6" t="inlineStr">
        <is>
          <t>P1</t>
        </is>
      </c>
      <c r="D9" s="6" t="inlineStr">
        <is>
          <t>404 page</t>
        </is>
      </c>
      <c r="E9" s="6" t="inlineStr">
        <is>
          <t>Signed in</t>
        </is>
      </c>
      <c r="F9" s="6" t="inlineStr">
        <is>
          <t>Open /nonexistent</t>
        </is>
      </c>
      <c r="G9" s="6" t="inlineStr">
        <is>
          <t>'Page not found' inside app layout with link home</t>
        </is>
      </c>
      <c r="H9" s="6" t="n"/>
      <c r="I9" s="6" t="n"/>
      <c r="J9" s="6" t="n"/>
      <c r="K9" s="6" t="n"/>
      <c r="L9" s="6" t="n"/>
      <c r="M9" s="6" t="n"/>
    </row>
    <row r="10">
      <c r="A10" s="6" t="inlineStr">
        <is>
          <t>NAV-01</t>
        </is>
      </c>
      <c r="B10" s="6" t="inlineStr">
        <is>
          <t>Auth &amp; Nav</t>
        </is>
      </c>
      <c r="C10" s="6" t="inlineStr">
        <is>
          <t>P0</t>
        </is>
      </c>
      <c r="D10" s="6" t="inlineStr">
        <is>
          <t>Primary navigation</t>
        </is>
      </c>
      <c r="E10" s="6" t="inlineStr">
        <is>
          <t>Signed in</t>
        </is>
      </c>
      <c r="F10" s="6" t="inlineStr">
        <is>
          <t>Click each nav item</t>
        </is>
      </c>
      <c r="G10" s="6" t="inlineStr">
        <is>
          <t>Correct page; active pill animates; URL updates; transition plays</t>
        </is>
      </c>
      <c r="H10" s="6" t="n"/>
      <c r="I10" s="6" t="n"/>
      <c r="J10" s="6" t="n"/>
      <c r="K10" s="6" t="n"/>
      <c r="L10" s="6" t="n"/>
      <c r="M10" s="6" t="n"/>
    </row>
    <row r="11">
      <c r="A11" s="6" t="inlineStr">
        <is>
          <t>NAV-02</t>
        </is>
      </c>
      <c r="B11" s="6" t="inlineStr">
        <is>
          <t>Auth &amp; Nav</t>
        </is>
      </c>
      <c r="C11" s="6" t="inlineStr">
        <is>
          <t>P1</t>
        </is>
      </c>
      <c r="D11" s="6" t="inlineStr">
        <is>
          <t>Mobile navigation</t>
        </is>
      </c>
      <c r="E11" s="6" t="inlineStr">
        <is>
          <t>Signed in</t>
        </is>
      </c>
      <c r="F11" s="6" t="inlineStr">
        <is>
          <t>Resize to 375px; open hamburger; navigate</t>
        </is>
      </c>
      <c r="G11" s="6" t="inlineStr">
        <is>
          <t>Menu works; no horizontal page scroll</t>
        </is>
      </c>
      <c r="H11" s="6" t="n"/>
      <c r="I11" s="6" t="n"/>
      <c r="J11" s="6" t="n"/>
      <c r="K11" s="6" t="n"/>
      <c r="L11" s="6" t="n"/>
      <c r="M11" s="6" t="n"/>
    </row>
    <row r="12">
      <c r="A12" s="6" t="inlineStr">
        <is>
          <t>NAV-03</t>
        </is>
      </c>
      <c r="B12" s="6" t="inlineStr">
        <is>
          <t>Auth &amp; Nav</t>
        </is>
      </c>
      <c r="C12" s="6" t="inlineStr">
        <is>
          <t>P1</t>
        </is>
      </c>
      <c r="D12" s="6" t="inlineStr">
        <is>
          <t>Theme toggle</t>
        </is>
      </c>
      <c r="E12" s="6" t="inlineStr">
        <is>
          <t>Signed in</t>
        </is>
      </c>
      <c r="F12" s="6" t="inlineStr">
        <is>
          <t>Toggle sun/moon; reload; check gold buttons, inputs, tags in both themes</t>
        </is>
      </c>
      <c r="G12" s="6" t="inlineStr">
        <is>
          <t>Theme switches and persists; all text readable</t>
        </is>
      </c>
      <c r="H12" s="6" t="n"/>
      <c r="I12" s="6" t="n"/>
      <c r="J12" s="6" t="n"/>
      <c r="K12" s="6" t="n"/>
      <c r="L12" s="6" t="n"/>
      <c r="M12" s="6" t="n"/>
    </row>
    <row r="13">
      <c r="A13" s="6" t="inlineStr">
        <is>
          <t>NAV-04</t>
        </is>
      </c>
      <c r="B13" s="6" t="inlineStr">
        <is>
          <t>Auth &amp; Nav</t>
        </is>
      </c>
      <c r="C13" s="6" t="inlineStr">
        <is>
          <t>P1</t>
        </is>
      </c>
      <c r="D13" s="6" t="inlineStr">
        <is>
          <t>User menu</t>
        </is>
      </c>
      <c r="E13" s="6" t="inlineStr">
        <is>
          <t>Signed in</t>
        </is>
      </c>
      <c r="F13" s="6" t="inlineStr">
        <is>
          <t>Avatar → Profile / Settings / Sign out</t>
        </is>
      </c>
      <c r="G13" s="6" t="inlineStr">
        <is>
          <t>Each action works</t>
        </is>
      </c>
      <c r="H13" s="6" t="n"/>
      <c r="I13" s="6" t="n"/>
      <c r="J13" s="6" t="n"/>
      <c r="K13" s="6" t="n"/>
      <c r="L13" s="6" t="n"/>
      <c r="M13" s="6" t="n"/>
    </row>
    <row r="14">
      <c r="A14" s="6" t="inlineStr">
        <is>
          <t>JD-01</t>
        </is>
      </c>
      <c r="B14" s="6" t="inlineStr">
        <is>
          <t>Job description</t>
        </is>
      </c>
      <c r="C14" s="6" t="inlineStr">
        <is>
          <t>P0</t>
        </is>
      </c>
      <c r="D14" s="6" t="inlineStr">
        <is>
          <t>Analyze good JD</t>
        </is>
      </c>
      <c r="E14" s="6" t="inlineStr">
        <is>
          <t>JD-GOOD pasted</t>
        </is>
      </c>
      <c r="F14" s="6" t="inlineStr">
        <is>
          <t>Click Analyze JD</t>
        </is>
      </c>
      <c r="G14" s="6" t="inlineStr">
        <is>
          <t>Grade A/B; requirements count matches; years detected</t>
        </is>
      </c>
      <c r="H14" s="6" t="n"/>
      <c r="I14" s="6" t="n"/>
      <c r="J14" s="6" t="n"/>
      <c r="K14" s="6" t="n"/>
      <c r="L14" s="6" t="n"/>
      <c r="M14" s="6" t="n"/>
    </row>
    <row r="15">
      <c r="A15" s="6" t="inlineStr">
        <is>
          <t>JD-02</t>
        </is>
      </c>
      <c r="B15" s="6" t="inlineStr">
        <is>
          <t>Job description</t>
        </is>
      </c>
      <c r="C15" s="6" t="inlineStr">
        <is>
          <t>P0</t>
        </is>
      </c>
      <c r="D15" s="6" t="inlineStr">
        <is>
          <t>Analyze bad JD</t>
        </is>
      </c>
      <c r="E15" s="6" t="inlineStr">
        <is>
          <t>JD-BAD pasted</t>
        </is>
      </c>
      <c r="F15" s="6" t="inlineStr">
        <is>
          <t>Click Analyze JD</t>
        </is>
      </c>
      <c r="G15" s="6" t="inlineStr">
        <is>
          <t>Grade D; issues: no title, short, no skills, buzzwords, biased wording</t>
        </is>
      </c>
      <c r="H15" s="6" t="n"/>
      <c r="I15" s="6" t="n"/>
      <c r="J15" s="6" t="n"/>
      <c r="K15" s="6" t="n"/>
      <c r="L15" s="6" t="n"/>
      <c r="M15" s="6" t="n"/>
    </row>
    <row r="16">
      <c r="A16" s="6" t="inlineStr">
        <is>
          <t>JD-03</t>
        </is>
      </c>
      <c r="B16" s="6" t="inlineStr">
        <is>
          <t>Job description</t>
        </is>
      </c>
      <c r="C16" s="6" t="inlineStr">
        <is>
          <t>P2</t>
        </is>
      </c>
      <c r="D16" s="6" t="inlineStr">
        <is>
          <t>Report clears on edit</t>
        </is>
      </c>
      <c r="E16" s="6" t="inlineStr">
        <is>
          <t>Analysis shown</t>
        </is>
      </c>
      <c r="F16" s="6" t="inlineStr">
        <is>
          <t>Edit the JD text</t>
        </is>
      </c>
      <c r="G16" s="6" t="inlineStr">
        <is>
          <t>Report disappears until re-analyzed</t>
        </is>
      </c>
      <c r="H16" s="6" t="n"/>
      <c r="I16" s="6" t="n"/>
      <c r="J16" s="6" t="n"/>
      <c r="K16" s="6" t="n"/>
      <c r="L16" s="6" t="n"/>
      <c r="M16" s="6" t="n"/>
    </row>
    <row r="17">
      <c r="A17" s="6" t="inlineStr">
        <is>
          <t>JD-04</t>
        </is>
      </c>
      <c r="B17" s="6" t="inlineStr">
        <is>
          <t>Job description</t>
        </is>
      </c>
      <c r="C17" s="6" t="inlineStr">
        <is>
          <t>P1</t>
        </is>
      </c>
      <c r="D17" s="6" t="inlineStr">
        <is>
          <t>Save &amp; load job</t>
        </is>
      </c>
      <c r="E17" s="6" t="inlineStr">
        <is>
          <t>Signed in, history on</t>
        </is>
      </c>
      <c r="F17" s="6" t="inlineStr">
        <is>
          <t>Save job → reload → pick from Saved jobs</t>
        </is>
      </c>
      <c r="G17" s="6" t="inlineStr">
        <is>
          <t>Title, description, top-N, weights restored; button reads 'Update job'</t>
        </is>
      </c>
      <c r="H17" s="6" t="n"/>
      <c r="I17" s="6" t="n"/>
      <c r="J17" s="6" t="n"/>
      <c r="K17" s="6" t="n"/>
      <c r="L17" s="6" t="n"/>
      <c r="M17" s="6" t="n"/>
    </row>
    <row r="18">
      <c r="A18" s="6" t="inlineStr">
        <is>
          <t>JD-05</t>
        </is>
      </c>
      <c r="B18" s="6" t="inlineStr">
        <is>
          <t>Job description</t>
        </is>
      </c>
      <c r="C18" s="6" t="inlineStr">
        <is>
          <t>P1</t>
        </is>
      </c>
      <c r="D18" s="6" t="inlineStr">
        <is>
          <t>Delete saved job</t>
        </is>
      </c>
      <c r="E18" s="6" t="inlineStr">
        <is>
          <t>Saved job selected</t>
        </is>
      </c>
      <c r="F18" s="6" t="inlineStr">
        <is>
          <t>Click delete</t>
        </is>
      </c>
      <c r="G18" s="6" t="inlineStr">
        <is>
          <t>Removed from dropdown; toast</t>
        </is>
      </c>
      <c r="H18" s="6" t="n"/>
      <c r="I18" s="6" t="n"/>
      <c r="J18" s="6" t="n"/>
      <c r="K18" s="6" t="n"/>
      <c r="L18" s="6" t="n"/>
      <c r="M18" s="6" t="n"/>
    </row>
    <row r="19">
      <c r="A19" s="6" t="inlineStr">
        <is>
          <t>JD-06</t>
        </is>
      </c>
      <c r="B19" s="6" t="inlineStr">
        <is>
          <t>Job description</t>
        </is>
      </c>
      <c r="C19" s="6" t="inlineStr">
        <is>
          <t>P2</t>
        </is>
      </c>
      <c r="D19" s="6" t="inlineStr">
        <is>
          <t>Shortlist size controls</t>
        </is>
      </c>
      <c r="E19" s="6" t="inlineStr">
        <is>
          <t>-</t>
        </is>
      </c>
      <c r="F19" s="6" t="inlineStr">
        <is>
          <t>Move slider; type number &gt; 50</t>
        </is>
      </c>
      <c r="G19" s="6" t="inlineStr">
        <is>
          <t>Slider and number stay in sync; &gt;50 accepted</t>
        </is>
      </c>
      <c r="H19" s="6" t="n"/>
      <c r="I19" s="6" t="n"/>
      <c r="J19" s="6" t="n"/>
      <c r="K19" s="6" t="n"/>
      <c r="L19" s="6" t="n"/>
      <c r="M19" s="6" t="n"/>
    </row>
    <row r="20">
      <c r="A20" s="6" t="inlineStr">
        <is>
          <t>JD-07</t>
        </is>
      </c>
      <c r="B20" s="6" t="inlineStr">
        <is>
          <t>Job description</t>
        </is>
      </c>
      <c r="C20" s="6" t="inlineStr">
        <is>
          <t>P0</t>
        </is>
      </c>
      <c r="D20" s="6" t="inlineStr">
        <is>
          <t>Screen with empty JD</t>
        </is>
      </c>
      <c r="E20" s="6" t="inlineStr">
        <is>
          <t>No description</t>
        </is>
      </c>
      <c r="F20" s="6" t="inlineStr">
        <is>
          <t>Click Screen</t>
        </is>
      </c>
      <c r="G20" s="6" t="inlineStr">
        <is>
          <t>Error toast; no request sent</t>
        </is>
      </c>
      <c r="H20" s="6" t="n"/>
      <c r="I20" s="6" t="n"/>
      <c r="J20" s="6" t="n"/>
      <c r="K20" s="6" t="n"/>
      <c r="L20" s="6" t="n"/>
      <c r="M20" s="6" t="n"/>
    </row>
    <row r="21">
      <c r="A21" s="6" t="inlineStr">
        <is>
          <t>SCR-01</t>
        </is>
      </c>
      <c r="B21" s="6" t="inlineStr">
        <is>
          <t>Screening accuracy</t>
        </is>
      </c>
      <c r="C21" s="6" t="inlineStr">
        <is>
          <t>P0</t>
        </is>
      </c>
      <c r="D21" s="6" t="inlineStr">
        <is>
          <t>Full upload run</t>
        </is>
      </c>
      <c r="E21" s="6" t="inlineStr">
        <is>
          <t>All §2 files, JD-GOOD</t>
        </is>
      </c>
      <c r="F21" s="6" t="inlineStr">
        <is>
          <t>Upload all; Screen</t>
        </is>
      </c>
      <c r="G21" s="6" t="inlineStr">
        <is>
          <t>Overlay shows 4 steps; toast 'Ranked N — showing top M'; results scroll into view</t>
        </is>
      </c>
      <c r="H21" s="6" t="n"/>
      <c r="I21" s="6" t="n"/>
      <c r="J21" s="6" t="n"/>
      <c r="K21" s="6" t="n"/>
      <c r="L21" s="6" t="n"/>
      <c r="M21" s="6" t="n"/>
    </row>
    <row r="22">
      <c r="A22" s="6" t="inlineStr">
        <is>
          <t>SCR-02</t>
        </is>
      </c>
      <c r="B22" s="6" t="inlineStr">
        <is>
          <t>Screening accuracy</t>
        </is>
      </c>
      <c r="C22" s="6" t="inlineStr">
        <is>
          <t>P0</t>
        </is>
      </c>
      <c r="D22" s="6" t="inlineStr">
        <is>
          <t>Ranking order</t>
        </is>
      </c>
      <c r="E22" s="6" t="inlineStr">
        <is>
          <t>SCR-01 done</t>
        </is>
      </c>
      <c r="F22" s="6" t="inlineStr">
        <is>
          <t>Read table order</t>
        </is>
      </c>
      <c r="G22" s="6" t="inlineStr">
        <is>
          <t>strong is #1; alt-a and alt-b both in top 3 (within ~10 pts); weak last; partial &amp; student in lower half; notresume never in table</t>
        </is>
      </c>
      <c r="H22" s="6" t="n"/>
      <c r="I22" s="6" t="n"/>
      <c r="J22" s="6" t="n"/>
      <c r="K22" s="6" t="n"/>
      <c r="L22" s="6" t="n"/>
      <c r="M22" s="6" t="n"/>
    </row>
    <row r="23">
      <c r="A23" s="6" t="inlineStr">
        <is>
          <t>SCR-03</t>
        </is>
      </c>
      <c r="B23" s="6" t="inlineStr">
        <is>
          <t>Screening accuracy</t>
        </is>
      </c>
      <c r="C23" s="6" t="inlineStr">
        <is>
          <t>P0</t>
        </is>
      </c>
      <c r="D23" s="6" t="inlineStr">
        <is>
          <t>Strong candidate detail</t>
        </is>
      </c>
      <c r="E23" s="6" t="inlineStr">
        <is>
          <t>SCR-01</t>
        </is>
      </c>
      <c r="F23" s="6" t="inlineStr">
        <is>
          <t>Expand strong.pdf</t>
        </is>
      </c>
      <c r="G23" s="6" t="inlineStr">
        <is>
          <t>Breakdown sums to total; all must-haves matched; evidence snippets present</t>
        </is>
      </c>
      <c r="H23" s="6" t="n"/>
      <c r="I23" s="6" t="n"/>
      <c r="J23" s="6" t="n"/>
      <c r="K23" s="6" t="n"/>
      <c r="L23" s="6" t="n"/>
      <c r="M23" s="6" t="n"/>
    </row>
    <row r="24">
      <c r="A24" s="6" t="inlineStr">
        <is>
          <t>SCR-04</t>
        </is>
      </c>
      <c r="B24" s="6" t="inlineStr">
        <is>
          <t>Screening accuracy</t>
        </is>
      </c>
      <c r="C24" s="6" t="inlineStr">
        <is>
          <t>P0</t>
        </is>
      </c>
      <c r="D24" s="6" t="inlineStr">
        <is>
          <t>Improvements for partial</t>
        </is>
      </c>
      <c r="E24" s="6" t="inlineStr">
        <is>
          <t>SCR-01</t>
        </is>
      </c>
      <c r="F24" s="6" t="inlineStr">
        <is>
          <t>Expand partial.pdf</t>
        </is>
      </c>
      <c r="G24" s="6" t="inlineStr">
        <is>
          <t>Missing must-haves listed with +points and must-have badge</t>
        </is>
      </c>
      <c r="H24" s="6" t="n"/>
      <c r="I24" s="6" t="n"/>
      <c r="J24" s="6" t="n"/>
      <c r="K24" s="6" t="n"/>
      <c r="L24" s="6" t="n"/>
      <c r="M24" s="6" t="n"/>
    </row>
    <row r="25">
      <c r="A25" s="6" t="inlineStr">
        <is>
          <t>SCR-05</t>
        </is>
      </c>
      <c r="B25" s="6" t="inlineStr">
        <is>
          <t>Screening accuracy</t>
        </is>
      </c>
      <c r="C25" s="6" t="inlineStr">
        <is>
          <t>P0</t>
        </is>
      </c>
      <c r="D25" s="6" t="inlineStr">
        <is>
          <t>'A or B' alternatives</t>
        </is>
      </c>
      <c r="E25" s="6" t="inlineStr">
        <is>
          <t>SCR-01</t>
        </is>
      </c>
      <c r="F25" s="6" t="inlineStr">
        <is>
          <t>Check alt-a and alt-b</t>
        </is>
      </c>
      <c r="G25" s="6" t="inlineStr">
        <is>
          <t>Dashed tag 'pytorch or tensorflow'; both show it under Matched</t>
        </is>
      </c>
      <c r="H25" s="6" t="n"/>
      <c r="I25" s="6" t="n"/>
      <c r="J25" s="6" t="n"/>
      <c r="K25" s="6" t="n"/>
      <c r="L25" s="6" t="n"/>
      <c r="M25" s="6" t="n"/>
    </row>
    <row r="26">
      <c r="A26" s="6" t="inlineStr">
        <is>
          <t>SCR-06</t>
        </is>
      </c>
      <c r="B26" s="6" t="inlineStr">
        <is>
          <t>Screening accuracy</t>
        </is>
      </c>
      <c r="C26" s="6" t="inlineStr">
        <is>
          <t>P0</t>
        </is>
      </c>
      <c r="D26" s="6" t="inlineStr">
        <is>
          <t>Education dates excluded</t>
        </is>
      </c>
      <c r="E26" s="6" t="inlineStr">
        <is>
          <t>SCR-01</t>
        </is>
      </c>
      <c r="F26" s="6" t="inlineStr">
        <is>
          <t>Expand student.pdf</t>
        </is>
      </c>
      <c r="G26" s="6" t="inlineStr">
        <is>
          <t>Experience ≈ 0.3y (not 4y); brief headline names the internship company</t>
        </is>
      </c>
      <c r="H26" s="6" t="n"/>
      <c r="I26" s="6" t="n"/>
      <c r="J26" s="6" t="n"/>
      <c r="K26" s="6" t="n"/>
      <c r="L26" s="6" t="n"/>
      <c r="M26" s="6" t="n"/>
    </row>
    <row r="27">
      <c r="A27" s="6" t="inlineStr">
        <is>
          <t>SCR-07</t>
        </is>
      </c>
      <c r="B27" s="6" t="inlineStr">
        <is>
          <t>Screening accuracy</t>
        </is>
      </c>
      <c r="C27" s="6" t="inlineStr">
        <is>
          <t>P1</t>
        </is>
      </c>
      <c r="D27" s="6" t="inlineStr">
        <is>
          <t>Fuzzy skill matching</t>
        </is>
      </c>
      <c r="E27" s="6" t="inlineStr">
        <is>
          <t>SCR-01</t>
        </is>
      </c>
      <c r="F27" s="6" t="inlineStr">
        <is>
          <t>Expand typo.txt</t>
        </is>
      </c>
      <c r="G27" s="6" t="inlineStr">
        <is>
          <t>Misspelled skills (Pyhton, Kubernets, Tensorflw) matched</t>
        </is>
      </c>
      <c r="H27" s="6" t="n"/>
      <c r="I27" s="6" t="n"/>
      <c r="J27" s="6" t="n"/>
      <c r="K27" s="6" t="n"/>
      <c r="L27" s="6" t="n"/>
      <c r="M27" s="6" t="n"/>
    </row>
    <row r="28">
      <c r="A28" s="6" t="inlineStr">
        <is>
          <t>SCR-08</t>
        </is>
      </c>
      <c r="B28" s="6" t="inlineStr">
        <is>
          <t>Screening accuracy</t>
        </is>
      </c>
      <c r="C28" s="6" t="inlineStr">
        <is>
          <t>P0</t>
        </is>
      </c>
      <c r="D28" s="6" t="inlineStr">
        <is>
          <t>Non-resume excluded</t>
        </is>
      </c>
      <c r="E28" s="6" t="inlineStr">
        <is>
          <t>SCR-01</t>
        </is>
      </c>
      <c r="F28" s="6" t="inlineStr">
        <is>
          <t>Check notresume.pdf</t>
        </is>
      </c>
      <c r="G28" s="6" t="inlineStr">
        <is>
          <t>Listed under 'Excluded — didn't look like a resume' with confidence % and reasons; not in table; info toast</t>
        </is>
      </c>
      <c r="H28" s="6" t="n"/>
      <c r="I28" s="6" t="n"/>
      <c r="J28" s="6" t="n"/>
      <c r="K28" s="6" t="n"/>
      <c r="L28" s="6" t="n"/>
      <c r="M28" s="6" t="n"/>
    </row>
    <row r="29">
      <c r="A29" s="6" t="inlineStr">
        <is>
          <t>SCR-09</t>
        </is>
      </c>
      <c r="B29" s="6" t="inlineStr">
        <is>
          <t>Screening accuracy</t>
        </is>
      </c>
      <c r="C29" s="6" t="inlineStr">
        <is>
          <t>P1</t>
        </is>
      </c>
      <c r="D29" s="6" t="inlineStr">
        <is>
          <t>Exact duplicate skipped</t>
        </is>
      </c>
      <c r="E29" s="6" t="inlineStr">
        <is>
          <t>SCR-01</t>
        </is>
      </c>
      <c r="F29" s="6" t="inlineStr">
        <is>
          <t>Check dup2.pdf</t>
        </is>
      </c>
      <c r="G29" s="6" t="inlineStr">
        <is>
          <t>Error entry 'Duplicate … skipped'; one copy ranked</t>
        </is>
      </c>
      <c r="H29" s="6" t="n"/>
      <c r="I29" s="6" t="n"/>
      <c r="J29" s="6" t="n"/>
      <c r="K29" s="6" t="n"/>
      <c r="L29" s="6" t="n"/>
      <c r="M29" s="6" t="n"/>
    </row>
    <row r="30">
      <c r="A30" s="6" t="inlineStr">
        <is>
          <t>SCR-10</t>
        </is>
      </c>
      <c r="B30" s="6" t="inlineStr">
        <is>
          <t>Screening accuracy</t>
        </is>
      </c>
      <c r="C30" s="6" t="inlineStr">
        <is>
          <t>P1</t>
        </is>
      </c>
      <c r="D30" s="6" t="inlineStr">
        <is>
          <t>Same-person detection</t>
        </is>
      </c>
      <c r="E30" s="6" t="inlineStr">
        <is>
          <t>SCR-01</t>
        </is>
      </c>
      <c r="F30" s="6" t="inlineStr">
        <is>
          <t>Check strong.pdf &amp; same-person.pdf</t>
        </is>
      </c>
      <c r="G30" s="6" t="inlineStr">
        <is>
          <t>Red 'possible duplicate' badge on both rows</t>
        </is>
      </c>
      <c r="H30" s="6" t="n"/>
      <c r="I30" s="6" t="n"/>
      <c r="J30" s="6" t="n"/>
      <c r="K30" s="6" t="n"/>
      <c r="L30" s="6" t="n"/>
      <c r="M30" s="6" t="n"/>
    </row>
    <row r="31">
      <c r="A31" s="6" t="inlineStr">
        <is>
          <t>SCR-11</t>
        </is>
      </c>
      <c r="B31" s="6" t="inlineStr">
        <is>
          <t>Screening accuracy</t>
        </is>
      </c>
      <c r="C31" s="6" t="inlineStr">
        <is>
          <t>P0</t>
        </is>
      </c>
      <c r="D31" s="6" t="inlineStr">
        <is>
          <t>Corrupt &amp; scanned files</t>
        </is>
      </c>
      <c r="E31" s="6" t="inlineStr">
        <is>
          <t>SCR-01</t>
        </is>
      </c>
      <c r="F31" s="6" t="inlineStr">
        <is>
          <t>Check scanned.pdf, bad.pdf</t>
        </is>
      </c>
      <c r="G31" s="6" t="inlineStr">
        <is>
          <t>Each listed in errors; other files still ranked</t>
        </is>
      </c>
      <c r="H31" s="6" t="n"/>
      <c r="I31" s="6" t="n"/>
      <c r="J31" s="6" t="n"/>
      <c r="K31" s="6" t="n"/>
      <c r="L31" s="6" t="n"/>
      <c r="M31" s="6" t="n"/>
    </row>
    <row r="32">
      <c r="A32" s="6" t="inlineStr">
        <is>
          <t>SCR-12</t>
        </is>
      </c>
      <c r="B32" s="6" t="inlineStr">
        <is>
          <t>Screening accuracy</t>
        </is>
      </c>
      <c r="C32" s="6" t="inlineStr">
        <is>
          <t>P1</t>
        </is>
      </c>
      <c r="D32" s="6" t="inlineStr">
        <is>
          <t>Oversize file</t>
        </is>
      </c>
      <c r="E32" s="6" t="inlineStr">
        <is>
          <t>big.pdf</t>
        </is>
      </c>
      <c r="F32" s="6" t="inlineStr">
        <is>
          <t>Upload big.pdf; Screen</t>
        </is>
      </c>
      <c r="G32" s="6" t="inlineStr">
        <is>
          <t>413 toast with clear limit message</t>
        </is>
      </c>
      <c r="H32" s="6" t="n"/>
      <c r="I32" s="6" t="n"/>
      <c r="J32" s="6" t="n"/>
      <c r="K32" s="6" t="n"/>
      <c r="L32" s="6" t="n"/>
      <c r="M32" s="6" t="n"/>
    </row>
    <row r="33">
      <c r="A33" s="6" t="inlineStr">
        <is>
          <t>SCR-13</t>
        </is>
      </c>
      <c r="B33" s="6" t="inlineStr">
        <is>
          <t>Screening accuracy</t>
        </is>
      </c>
      <c r="C33" s="6" t="inlineStr">
        <is>
          <t>P1</t>
        </is>
      </c>
      <c r="D33" s="6" t="inlineStr">
        <is>
          <t>Non-tech JD</t>
        </is>
      </c>
      <c r="E33" s="6" t="inlineStr">
        <is>
          <t>JD-NONTECH</t>
        </is>
      </c>
      <c r="F33" s="6" t="inlineStr">
        <is>
          <t>Screen weak.docx + strong.pdf</t>
        </is>
      </c>
      <c r="G33" s="6" t="inlineStr">
        <is>
          <t>Generic requirements detected (dashed tags); weak.docx ranks above strong.pdf</t>
        </is>
      </c>
      <c r="H33" s="6" t="n"/>
      <c r="I33" s="6" t="n"/>
      <c r="J33" s="6" t="n"/>
      <c r="K33" s="6" t="n"/>
      <c r="L33" s="6" t="n"/>
      <c r="M33" s="6" t="n"/>
    </row>
    <row r="34">
      <c r="A34" s="6" t="inlineStr">
        <is>
          <t>SCR-14</t>
        </is>
      </c>
      <c r="B34" s="6" t="inlineStr">
        <is>
          <t>Screening accuracy</t>
        </is>
      </c>
      <c r="C34" s="6" t="inlineStr">
        <is>
          <t>P1</t>
        </is>
      </c>
      <c r="D34" s="6" t="inlineStr">
        <is>
          <t>Custom weights</t>
        </is>
      </c>
      <c r="E34" s="6" t="inlineStr">
        <is>
          <t>Tune → semantic 0</t>
        </is>
      </c>
      <c r="F34" s="6" t="inlineStr">
        <is>
          <t>Screen</t>
        </is>
      </c>
      <c r="G34" s="6" t="inlineStr">
        <is>
          <t>No semantic row in breakdown; totals ≤ 100</t>
        </is>
      </c>
      <c r="H34" s="6" t="n"/>
      <c r="I34" s="6" t="n"/>
      <c r="J34" s="6" t="n"/>
      <c r="K34" s="6" t="n"/>
      <c r="L34" s="6" t="n"/>
      <c r="M34" s="6" t="n"/>
    </row>
    <row r="35">
      <c r="A35" s="6" t="inlineStr">
        <is>
          <t>SCR-15</t>
        </is>
      </c>
      <c r="B35" s="6" t="inlineStr">
        <is>
          <t>Screening accuracy</t>
        </is>
      </c>
      <c r="C35" s="6" t="inlineStr">
        <is>
          <t>P1</t>
        </is>
      </c>
      <c r="D35" s="6" t="inlineStr">
        <is>
          <t>Large batch</t>
        </is>
      </c>
      <c r="E35" s="6" t="inlineStr">
        <is>
          <t>100+ files</t>
        </is>
      </c>
      <c r="F35" s="6" t="inlineStr">
        <is>
          <t>Screen</t>
        </is>
      </c>
      <c r="G35" s="6" t="inlineStr">
        <is>
          <t>Completes &lt; 60s; UI responsive; no negative scores</t>
        </is>
      </c>
      <c r="H35" s="6" t="n"/>
      <c r="I35" s="6" t="n"/>
      <c r="J35" s="6" t="n"/>
      <c r="K35" s="6" t="n"/>
      <c r="L35" s="6" t="n"/>
      <c r="M35" s="6" t="n"/>
    </row>
    <row r="36">
      <c r="A36" s="6" t="inlineStr">
        <is>
          <t>SCR-16</t>
        </is>
      </c>
      <c r="B36" s="6" t="inlineStr">
        <is>
          <t>Screening accuracy</t>
        </is>
      </c>
      <c r="C36" s="6" t="inlineStr">
        <is>
          <t>P0</t>
        </is>
      </c>
      <c r="D36" s="6" t="inlineStr">
        <is>
          <t>Backend down</t>
        </is>
      </c>
      <c r="E36" s="6" t="inlineStr">
        <is>
          <t>Stop backend</t>
        </is>
      </c>
      <c r="F36" s="6" t="inlineStr">
        <is>
          <t>Click Screen; restart backend; retry</t>
        </is>
      </c>
      <c r="G36" s="6" t="inlineStr">
        <is>
          <t>Error toast (no white screen); works after restart</t>
        </is>
      </c>
      <c r="H36" s="6" t="n"/>
      <c r="I36" s="6" t="n"/>
      <c r="J36" s="6" t="n"/>
      <c r="K36" s="6" t="n"/>
      <c r="L36" s="6" t="n"/>
      <c r="M36" s="6" t="n"/>
    </row>
    <row r="37">
      <c r="A37" s="6" t="inlineStr">
        <is>
          <t>RES-01</t>
        </is>
      </c>
      <c r="B37" s="6" t="inlineStr">
        <is>
          <t>Results</t>
        </is>
      </c>
      <c r="C37" s="6" t="inlineStr">
        <is>
          <t>P0</t>
        </is>
      </c>
      <c r="D37" s="6" t="inlineStr">
        <is>
          <t>Search</t>
        </is>
      </c>
      <c r="E37" s="6" t="inlineStr">
        <is>
          <t>Results shown</t>
        </is>
      </c>
      <c r="F37" s="6" t="inlineStr">
        <is>
          <t>Search by name / email / skill</t>
        </is>
      </c>
      <c r="G37" s="6" t="inlineStr">
        <is>
          <t>Live filter; empty state when no match</t>
        </is>
      </c>
      <c r="H37" s="6" t="n"/>
      <c r="I37" s="6" t="n"/>
      <c r="J37" s="6" t="n"/>
      <c r="K37" s="6" t="n"/>
      <c r="L37" s="6" t="n"/>
      <c r="M37" s="6" t="n"/>
    </row>
    <row r="38">
      <c r="A38" s="6" t="inlineStr">
        <is>
          <t>RES-02</t>
        </is>
      </c>
      <c r="B38" s="6" t="inlineStr">
        <is>
          <t>Results</t>
        </is>
      </c>
      <c r="C38" s="6" t="inlineStr">
        <is>
          <t>P0</t>
        </is>
      </c>
      <c r="D38" s="6" t="inlineStr">
        <is>
          <t>Filter &amp; sort</t>
        </is>
      </c>
      <c r="E38" s="6" t="inlineStr">
        <is>
          <t>Results shown</t>
        </is>
      </c>
      <c r="F38" s="6" t="inlineStr">
        <is>
          <t>Status filter, sort options, min-score slider</t>
        </is>
      </c>
      <c r="G38" s="6" t="inlineStr">
        <is>
          <t>Applied correctly; counts update</t>
        </is>
      </c>
      <c r="H38" s="6" t="n"/>
      <c r="I38" s="6" t="n"/>
      <c r="J38" s="6" t="n"/>
      <c r="K38" s="6" t="n"/>
      <c r="L38" s="6" t="n"/>
      <c r="M38" s="6" t="n"/>
    </row>
    <row r="39">
      <c r="A39" s="6" t="inlineStr">
        <is>
          <t>RES-03</t>
        </is>
      </c>
      <c r="B39" s="6" t="inlineStr">
        <is>
          <t>Results</t>
        </is>
      </c>
      <c r="C39" s="6" t="inlineStr">
        <is>
          <t>P0</t>
        </is>
      </c>
      <c r="D39" s="6" t="inlineStr">
        <is>
          <t>Status persists</t>
        </is>
      </c>
      <c r="E39" s="6" t="inlineStr">
        <is>
          <t>History on</t>
        </is>
      </c>
      <c r="F39" s="6" t="inlineStr">
        <is>
          <t>Change status → reload → History → View</t>
        </is>
      </c>
      <c r="G39" s="6" t="inlineStr">
        <is>
          <t>Status retained</t>
        </is>
      </c>
      <c r="H39" s="6" t="n"/>
      <c r="I39" s="6" t="n"/>
      <c r="J39" s="6" t="n"/>
      <c r="K39" s="6" t="n"/>
      <c r="L39" s="6" t="n"/>
      <c r="M39" s="6" t="n"/>
    </row>
    <row r="40">
      <c r="A40" s="6" t="inlineStr">
        <is>
          <t>RES-04</t>
        </is>
      </c>
      <c r="B40" s="6" t="inlineStr">
        <is>
          <t>Results</t>
        </is>
      </c>
      <c r="C40" s="6" t="inlineStr">
        <is>
          <t>P0</t>
        </is>
      </c>
      <c r="D40" s="6" t="inlineStr">
        <is>
          <t>Notes persist</t>
        </is>
      </c>
      <c r="E40" s="6" t="inlineStr">
        <is>
          <t>History on</t>
        </is>
      </c>
      <c r="F40" s="6" t="inlineStr">
        <is>
          <t>Type notes, blur → reload</t>
        </is>
      </c>
      <c r="G40" s="6" t="inlineStr">
        <is>
          <t>'Notes saved' toast; notes retained</t>
        </is>
      </c>
      <c r="H40" s="6" t="n"/>
      <c r="I40" s="6" t="n"/>
      <c r="J40" s="6" t="n"/>
      <c r="K40" s="6" t="n"/>
      <c r="L40" s="6" t="n"/>
      <c r="M40" s="6" t="n"/>
    </row>
    <row r="41">
      <c r="A41" s="6" t="inlineStr">
        <is>
          <t>RES-05</t>
        </is>
      </c>
      <c r="B41" s="6" t="inlineStr">
        <is>
          <t>Results</t>
        </is>
      </c>
      <c r="C41" s="6" t="inlineStr">
        <is>
          <t>P1</t>
        </is>
      </c>
      <c r="D41" s="6" t="inlineStr">
        <is>
          <t>Status without history</t>
        </is>
      </c>
      <c r="E41" s="6" t="inlineStr">
        <is>
          <t>Supabase not configured</t>
        </is>
      </c>
      <c r="F41" s="6" t="inlineStr">
        <is>
          <t>Change status</t>
        </is>
      </c>
      <c r="G41" s="6" t="inlineStr">
        <is>
          <t>Local change + info toast</t>
        </is>
      </c>
      <c r="H41" s="6" t="n"/>
      <c r="I41" s="6" t="n"/>
      <c r="J41" s="6" t="n"/>
      <c r="K41" s="6" t="n"/>
      <c r="L41" s="6" t="n"/>
      <c r="M41" s="6" t="n"/>
    </row>
    <row r="42">
      <c r="A42" s="6" t="inlineStr">
        <is>
          <t>RES-06</t>
        </is>
      </c>
      <c r="B42" s="6" t="inlineStr">
        <is>
          <t>Results</t>
        </is>
      </c>
      <c r="C42" s="6" t="inlineStr">
        <is>
          <t>P1</t>
        </is>
      </c>
      <c r="D42" s="6" t="inlineStr">
        <is>
          <t>Compare 2–3</t>
        </is>
      </c>
      <c r="E42" s="6" t="inlineStr">
        <is>
          <t>Results shown</t>
        </is>
      </c>
      <c r="F42" s="6" t="inlineStr">
        <is>
          <t>Select 3 → Compare</t>
        </is>
      </c>
      <c r="G42" s="6" t="inlineStr">
        <is>
          <t>Side-by-side modal with scores, bars, skills, brief; Close works</t>
        </is>
      </c>
      <c r="H42" s="6" t="n"/>
      <c r="I42" s="6" t="n"/>
      <c r="J42" s="6" t="n"/>
      <c r="K42" s="6" t="n"/>
      <c r="L42" s="6" t="n"/>
      <c r="M42" s="6" t="n"/>
    </row>
    <row r="43">
      <c r="A43" s="6" t="inlineStr">
        <is>
          <t>RES-07</t>
        </is>
      </c>
      <c r="B43" s="6" t="inlineStr">
        <is>
          <t>Results</t>
        </is>
      </c>
      <c r="C43" s="6" t="inlineStr">
        <is>
          <t>P2</t>
        </is>
      </c>
      <c r="D43" s="6" t="inlineStr">
        <is>
          <t>Compare limit</t>
        </is>
      </c>
      <c r="E43" s="6" t="inlineStr">
        <is>
          <t>Results shown</t>
        </is>
      </c>
      <c r="F43" s="6" t="inlineStr">
        <is>
          <t>Select 4</t>
        </is>
      </c>
      <c r="G43" s="6" t="inlineStr">
        <is>
          <t>Compare disabled</t>
        </is>
      </c>
      <c r="H43" s="6" t="n"/>
      <c r="I43" s="6" t="n"/>
      <c r="J43" s="6" t="n"/>
      <c r="K43" s="6" t="n"/>
      <c r="L43" s="6" t="n"/>
      <c r="M43" s="6" t="n"/>
    </row>
    <row r="44">
      <c r="A44" s="6" t="inlineStr">
        <is>
          <t>RES-08</t>
        </is>
      </c>
      <c r="B44" s="6" t="inlineStr">
        <is>
          <t>Results</t>
        </is>
      </c>
      <c r="C44" s="6" t="inlineStr">
        <is>
          <t>P0</t>
        </is>
      </c>
      <c r="D44" s="6" t="inlineStr">
        <is>
          <t>Anonymize</t>
        </is>
      </c>
      <c r="E44" s="6" t="inlineStr">
        <is>
          <t>Results shown</t>
        </is>
      </c>
      <c r="F44" s="6" t="inlineStr">
        <is>
          <t>Toggle Anonymize; export</t>
        </is>
      </c>
      <c r="G44" s="6" t="inlineStr">
        <is>
          <t>Names → 'Candidate #n'; email/phone hidden; export still has names</t>
        </is>
      </c>
      <c r="H44" s="6" t="n"/>
      <c r="I44" s="6" t="n"/>
      <c r="J44" s="6" t="n"/>
      <c r="K44" s="6" t="n"/>
      <c r="L44" s="6" t="n"/>
      <c r="M44" s="6" t="n"/>
    </row>
    <row r="45">
      <c r="A45" s="6" t="inlineStr">
        <is>
          <t>RES-09</t>
        </is>
      </c>
      <c r="B45" s="6" t="inlineStr">
        <is>
          <t>Results</t>
        </is>
      </c>
      <c r="C45" s="6" t="inlineStr">
        <is>
          <t>P1</t>
        </is>
      </c>
      <c r="D45" s="6" t="inlineStr">
        <is>
          <t>Bulk shortlist selected</t>
        </is>
      </c>
      <c r="E45" s="6" t="inlineStr">
        <is>
          <t>History on</t>
        </is>
      </c>
      <c r="F45" s="6" t="inlineStr">
        <is>
          <t>Select all filtered → Shortlist selected</t>
        </is>
      </c>
      <c r="G45" s="6" t="inlineStr">
        <is>
          <t>All shortlisted; persisted</t>
        </is>
      </c>
      <c r="H45" s="6" t="n"/>
      <c r="I45" s="6" t="n"/>
      <c r="J45" s="6" t="n"/>
      <c r="K45" s="6" t="n"/>
      <c r="L45" s="6" t="n"/>
      <c r="M45" s="6" t="n"/>
    </row>
    <row r="46">
      <c r="A46" s="6" t="inlineStr">
        <is>
          <t>RES-10</t>
        </is>
      </c>
      <c r="B46" s="6" t="inlineStr">
        <is>
          <t>Results</t>
        </is>
      </c>
      <c r="C46" s="6" t="inlineStr">
        <is>
          <t>P1</t>
        </is>
      </c>
      <c r="D46" s="6" t="inlineStr">
        <is>
          <t>Shortlist ≥ threshold</t>
        </is>
      </c>
      <c r="E46" s="6" t="inlineStr">
        <is>
          <t>Results shown</t>
        </is>
      </c>
      <c r="F46" s="6" t="inlineStr">
        <is>
          <t>Set 70 → Apply</t>
        </is>
      </c>
      <c r="G46" s="6" t="inlineStr">
        <is>
          <t>Only 'new' candidates ≥ 70 change</t>
        </is>
      </c>
      <c r="H46" s="6" t="n"/>
      <c r="I46" s="6" t="n"/>
      <c r="J46" s="6" t="n"/>
      <c r="K46" s="6" t="n"/>
      <c r="L46" s="6" t="n"/>
      <c r="M46" s="6" t="n"/>
    </row>
    <row r="47">
      <c r="A47" s="6" t="inlineStr">
        <is>
          <t>RES-11</t>
        </is>
      </c>
      <c r="B47" s="6" t="inlineStr">
        <is>
          <t>Results</t>
        </is>
      </c>
      <c r="C47" s="6" t="inlineStr">
        <is>
          <t>P1</t>
        </is>
      </c>
      <c r="D47" s="6" t="inlineStr">
        <is>
          <t>Heatmap</t>
        </is>
      </c>
      <c r="E47" s="6" t="inlineStr">
        <is>
          <t>Results shown</t>
        </is>
      </c>
      <c r="F47" s="6" t="inlineStr">
        <is>
          <t>Switch to Heatmap</t>
        </is>
      </c>
      <c r="G47" s="6" t="inlineStr">
        <is>
          <t>Requirement columns; ● where matched; coverage % row; low coverage red</t>
        </is>
      </c>
      <c r="H47" s="6" t="n"/>
      <c r="I47" s="6" t="n"/>
      <c r="J47" s="6" t="n"/>
      <c r="K47" s="6" t="n"/>
      <c r="L47" s="6" t="n"/>
      <c r="M47" s="6" t="n"/>
    </row>
    <row r="48">
      <c r="A48" s="6" t="inlineStr">
        <is>
          <t>RES-12</t>
        </is>
      </c>
      <c r="B48" s="6" t="inlineStr">
        <is>
          <t>Results</t>
        </is>
      </c>
      <c r="C48" s="6" t="inlineStr">
        <is>
          <t>P1</t>
        </is>
      </c>
      <c r="D48" s="6" t="inlineStr">
        <is>
          <t>Pipeline drag &amp; drop</t>
        </is>
      </c>
      <c r="E48" s="6" t="inlineStr">
        <is>
          <t>History on</t>
        </is>
      </c>
      <c r="F48" s="6" t="inlineStr">
        <is>
          <t>Drag card New → Interview</t>
        </is>
      </c>
      <c r="G48" s="6" t="inlineStr">
        <is>
          <t>Card moves; status persisted; counts update</t>
        </is>
      </c>
      <c r="H48" s="6" t="n"/>
      <c r="I48" s="6" t="n"/>
      <c r="J48" s="6" t="n"/>
      <c r="K48" s="6" t="n"/>
      <c r="L48" s="6" t="n"/>
      <c r="M48" s="6" t="n"/>
    </row>
    <row r="49">
      <c r="A49" s="6" t="inlineStr">
        <is>
          <t>RES-13</t>
        </is>
      </c>
      <c r="B49" s="6" t="inlineStr">
        <is>
          <t>Results</t>
        </is>
      </c>
      <c r="C49" s="6" t="inlineStr">
        <is>
          <t>P1</t>
        </is>
      </c>
      <c r="D49" s="6" t="inlineStr">
        <is>
          <t>Keyboard shortcuts</t>
        </is>
      </c>
      <c r="E49" s="6" t="inlineStr">
        <is>
          <t>Table view</t>
        </is>
      </c>
      <c r="F49" s="6" t="inlineStr">
        <is>
          <t>j/k, s, r, i, e, a; then type in search box</t>
        </is>
      </c>
      <c r="G49" s="6" t="inlineStr">
        <is>
          <t>Shortcuts work; none fire while typing in inputs</t>
        </is>
      </c>
      <c r="H49" s="6" t="n"/>
      <c r="I49" s="6" t="n"/>
      <c r="J49" s="6" t="n"/>
      <c r="K49" s="6" t="n"/>
      <c r="L49" s="6" t="n"/>
      <c r="M49" s="6" t="n"/>
    </row>
    <row r="50">
      <c r="A50" s="6" t="inlineStr">
        <is>
          <t>RES-14</t>
        </is>
      </c>
      <c r="B50" s="6" t="inlineStr">
        <is>
          <t>Results</t>
        </is>
      </c>
      <c r="C50" s="6" t="inlineStr">
        <is>
          <t>P1</t>
        </is>
      </c>
      <c r="D50" s="6" t="inlineStr">
        <is>
          <t>Resume viewer</t>
        </is>
      </c>
      <c r="E50" s="6" t="inlineStr">
        <is>
          <t>Upload run with PDF</t>
        </is>
      </c>
      <c r="F50" s="6" t="inlineStr">
        <is>
          <t>Expand → View resume</t>
        </is>
      </c>
      <c r="G50" s="6" t="inlineStr">
        <is>
          <t>Inline PDF; Close works; absent for Gmail/history runs</t>
        </is>
      </c>
      <c r="H50" s="6" t="n"/>
      <c r="I50" s="6" t="n"/>
      <c r="J50" s="6" t="n"/>
      <c r="K50" s="6" t="n"/>
      <c r="L50" s="6" t="n"/>
      <c r="M50" s="6" t="n"/>
    </row>
    <row r="51">
      <c r="A51" s="6" t="inlineStr">
        <is>
          <t>RES-15</t>
        </is>
      </c>
      <c r="B51" s="6" t="inlineStr">
        <is>
          <t>Results</t>
        </is>
      </c>
      <c r="C51" s="6" t="inlineStr">
        <is>
          <t>P0</t>
        </is>
      </c>
      <c r="D51" s="6" t="inlineStr">
        <is>
          <t>Excel export</t>
        </is>
      </c>
      <c r="E51" s="6" t="inlineStr">
        <is>
          <t>Statuses/notes set</t>
        </is>
      </c>
      <c r="F51" s="6" t="inlineStr">
        <is>
          <t>Export Excel; open file</t>
        </is>
      </c>
      <c r="G51" s="6" t="inlineStr">
        <is>
          <t>shortlist_&lt;title&gt;.xlsx; Status &amp; Notes columns; rows = filtered set</t>
        </is>
      </c>
      <c r="H51" s="6" t="n"/>
      <c r="I51" s="6" t="n"/>
      <c r="J51" s="6" t="n"/>
      <c r="K51" s="6" t="n"/>
      <c r="L51" s="6" t="n"/>
      <c r="M51" s="6" t="n"/>
    </row>
    <row r="52">
      <c r="A52" s="6" t="inlineStr">
        <is>
          <t>RES-16</t>
        </is>
      </c>
      <c r="B52" s="6" t="inlineStr">
        <is>
          <t>Results</t>
        </is>
      </c>
      <c r="C52" s="6" t="inlineStr">
        <is>
          <t>P2</t>
        </is>
      </c>
      <c r="D52" s="6" t="inlineStr">
        <is>
          <t>Print report</t>
        </is>
      </c>
      <c r="E52" s="6" t="inlineStr">
        <is>
          <t>Results shown</t>
        </is>
      </c>
      <c r="F52" s="6" t="inlineStr">
        <is>
          <t>Print → preview</t>
        </is>
      </c>
      <c r="G52" s="6" t="inlineStr">
        <is>
          <t>Nav/toolbar/notes hidden; readable in B/W</t>
        </is>
      </c>
      <c r="H52" s="6" t="n"/>
      <c r="I52" s="6" t="n"/>
      <c r="J52" s="6" t="n"/>
      <c r="K52" s="6" t="n"/>
      <c r="L52" s="6" t="n"/>
      <c r="M52" s="6" t="n"/>
    </row>
    <row r="53">
      <c r="A53" s="6" t="inlineStr">
        <is>
          <t>RES-17</t>
        </is>
      </c>
      <c r="B53" s="6" t="inlineStr">
        <is>
          <t>Results</t>
        </is>
      </c>
      <c r="C53" s="6" t="inlineStr">
        <is>
          <t>P2</t>
        </is>
      </c>
      <c r="D53" s="6" t="inlineStr">
        <is>
          <t>Copy interview questions</t>
        </is>
      </c>
      <c r="E53" s="6" t="inlineStr">
        <is>
          <t>Row expanded</t>
        </is>
      </c>
      <c r="F53" s="6" t="inlineStr">
        <is>
          <t>Click Copy questions; paste</t>
        </is>
      </c>
      <c r="G53" s="6" t="inlineStr">
        <is>
          <t>Numbered questions in clipboard</t>
        </is>
      </c>
      <c r="H53" s="6" t="n"/>
      <c r="I53" s="6" t="n"/>
      <c r="J53" s="6" t="n"/>
      <c r="K53" s="6" t="n"/>
      <c r="L53" s="6" t="n"/>
      <c r="M53" s="6" t="n"/>
    </row>
    <row r="54">
      <c r="A54" s="6" t="inlineStr">
        <is>
          <t>RES-18</t>
        </is>
      </c>
      <c r="B54" s="6" t="inlineStr">
        <is>
          <t>Results</t>
        </is>
      </c>
      <c r="C54" s="6" t="inlineStr">
        <is>
          <t>P0</t>
        </is>
      </c>
      <c r="D54" s="6" t="inlineStr">
        <is>
          <t>No text overflow</t>
        </is>
      </c>
      <c r="E54" s="6" t="inlineStr">
        <is>
          <t>Candidate with 60+ char name/email/filename</t>
        </is>
      </c>
      <c r="F54" s="6" t="inlineStr">
        <is>
          <t>View at 1280px and 375px; all views and cards</t>
        </is>
      </c>
      <c r="G54" s="6" t="inlineStr">
        <is>
          <t>Ellipsis truncation; nothing overflows any container</t>
        </is>
      </c>
      <c r="H54" s="6" t="n"/>
      <c r="I54" s="6" t="n"/>
      <c r="J54" s="6" t="n"/>
      <c r="K54" s="6" t="n"/>
      <c r="L54" s="6" t="n"/>
      <c r="M54" s="6" t="n"/>
    </row>
    <row r="55">
      <c r="A55" s="6" t="inlineStr">
        <is>
          <t>GM-01</t>
        </is>
      </c>
      <c r="B55" s="6" t="inlineStr">
        <is>
          <t>Gmail</t>
        </is>
      </c>
      <c r="C55" s="6" t="inlineStr">
        <is>
          <t>P1</t>
        </is>
      </c>
      <c r="D55" s="6" t="inlineStr">
        <is>
          <t>Not configured state</t>
        </is>
      </c>
      <c r="E55" s="6" t="inlineStr">
        <is>
          <t>No credentials.json</t>
        </is>
      </c>
      <c r="F55" s="6" t="inlineStr">
        <is>
          <t>Open Settings</t>
        </is>
      </c>
      <c r="G55" s="6" t="inlineStr">
        <is>
          <t>'Not configured' notice; Connect disabled</t>
        </is>
      </c>
      <c r="H55" s="6" t="n"/>
      <c r="I55" s="6" t="n"/>
      <c r="J55" s="6" t="n"/>
      <c r="K55" s="6" t="n"/>
      <c r="L55" s="6" t="n"/>
      <c r="M55" s="6" t="n"/>
    </row>
    <row r="56">
      <c r="A56" s="6" t="inlineStr">
        <is>
          <t>GM-02</t>
        </is>
      </c>
      <c r="B56" s="6" t="inlineStr">
        <is>
          <t>Gmail</t>
        </is>
      </c>
      <c r="C56" s="6" t="inlineStr">
        <is>
          <t>P0</t>
        </is>
      </c>
      <c r="D56" s="6" t="inlineStr">
        <is>
          <t>Connect</t>
        </is>
      </c>
      <c r="E56" s="6" t="inlineStr">
        <is>
          <t>credentials.json present</t>
        </is>
      </c>
      <c r="F56" s="6" t="inlineStr">
        <is>
          <t>Connect Gmail → approve</t>
        </is>
      </c>
      <c r="G56" s="6" t="inlineStr">
        <is>
          <t>Connected + account email; labels load</t>
        </is>
      </c>
      <c r="H56" s="6" t="n"/>
      <c r="I56" s="6" t="n"/>
      <c r="J56" s="6" t="n"/>
      <c r="K56" s="6" t="n"/>
      <c r="L56" s="6" t="n"/>
      <c r="M56" s="6" t="n"/>
    </row>
    <row r="57">
      <c r="A57" s="6" t="inlineStr">
        <is>
          <t>GM-03</t>
        </is>
      </c>
      <c r="B57" s="6" t="inlineStr">
        <is>
          <t>Gmail</t>
        </is>
      </c>
      <c r="C57" s="6" t="inlineStr">
        <is>
          <t>P0</t>
        </is>
      </c>
      <c r="D57" s="6" t="inlineStr">
        <is>
          <t>Label picker search</t>
        </is>
      </c>
      <c r="E57" s="6" t="inlineStr">
        <is>
          <t>Connected</t>
        </is>
      </c>
      <c r="F57" s="6" t="inlineStr">
        <is>
          <t>Type partial label name; Enter</t>
        </is>
      </c>
      <c r="G57" s="6" t="inlineStr">
        <is>
          <t>Filters; grouped Your labels / Gmail system; Enter selects; ✓ shown</t>
        </is>
      </c>
      <c r="H57" s="6" t="n"/>
      <c r="I57" s="6" t="n"/>
      <c r="J57" s="6" t="n"/>
      <c r="K57" s="6" t="n"/>
      <c r="L57" s="6" t="n"/>
      <c r="M57" s="6" t="n"/>
    </row>
    <row r="58">
      <c r="A58" s="6" t="inlineStr">
        <is>
          <t>GM-04</t>
        </is>
      </c>
      <c r="B58" s="6" t="inlineStr">
        <is>
          <t>Gmail</t>
        </is>
      </c>
      <c r="C58" s="6" t="inlineStr">
        <is>
          <t>P1</t>
        </is>
      </c>
      <c r="D58" s="6" t="inlineStr">
        <is>
          <t>Create label</t>
        </is>
      </c>
      <c r="E58" s="6" t="inlineStr">
        <is>
          <t>Connected</t>
        </is>
      </c>
      <c r="F58" s="6" t="inlineStr">
        <is>
          <t>Create 'QA-New-Label'</t>
        </is>
      </c>
      <c r="G58" s="6" t="inlineStr">
        <is>
          <t>Exists in Gmail; auto-selected; toast</t>
        </is>
      </c>
      <c r="H58" s="6" t="n"/>
      <c r="I58" s="6" t="n"/>
      <c r="J58" s="6" t="n"/>
      <c r="K58" s="6" t="n"/>
      <c r="L58" s="6" t="n"/>
      <c r="M58" s="6" t="n"/>
    </row>
    <row r="59">
      <c r="A59" s="6" t="inlineStr">
        <is>
          <t>GM-05</t>
        </is>
      </c>
      <c r="B59" s="6" t="inlineStr">
        <is>
          <t>Gmail</t>
        </is>
      </c>
      <c r="C59" s="6" t="inlineStr">
        <is>
          <t>P2</t>
        </is>
      </c>
      <c r="D59" s="6" t="inlineStr">
        <is>
          <t>Create existing label</t>
        </is>
      </c>
      <c r="E59" s="6" t="inlineStr">
        <is>
          <t>GM-04</t>
        </is>
      </c>
      <c r="F59" s="6" t="inlineStr">
        <is>
          <t>Create same name again</t>
        </is>
      </c>
      <c r="G59" s="6" t="inlineStr">
        <is>
          <t>No error; existing label returned</t>
        </is>
      </c>
      <c r="H59" s="6" t="n"/>
      <c r="I59" s="6" t="n"/>
      <c r="J59" s="6" t="n"/>
      <c r="K59" s="6" t="n"/>
      <c r="L59" s="6" t="n"/>
      <c r="M59" s="6" t="n"/>
    </row>
    <row r="60">
      <c r="A60" s="6" t="inlineStr">
        <is>
          <t>GM-06</t>
        </is>
      </c>
      <c r="B60" s="6" t="inlineStr">
        <is>
          <t>Gmail</t>
        </is>
      </c>
      <c r="C60" s="6" t="inlineStr">
        <is>
          <t>P0</t>
        </is>
      </c>
      <c r="D60" s="6" t="inlineStr">
        <is>
          <t>Screen unread + mark read</t>
        </is>
      </c>
      <c r="E60" s="6" t="inlineStr">
        <is>
          <t>QA-Applications seeded, all unread</t>
        </is>
      </c>
      <c r="F60" s="6" t="inlineStr">
        <is>
          <t>Unread only ON, Mark read ON → Screen</t>
        </is>
      </c>
      <c r="G60" s="6" t="inlineStr">
        <is>
          <t>3 resume emails fetched (4 attachments); non-resume flagged; no-attachment ignored; emails now read; source shown per candidate</t>
        </is>
      </c>
      <c r="H60" s="6" t="n"/>
      <c r="I60" s="6" t="n"/>
      <c r="J60" s="6" t="n"/>
      <c r="K60" s="6" t="n"/>
      <c r="L60" s="6" t="n"/>
      <c r="M60" s="6" t="n"/>
    </row>
    <row r="61">
      <c r="A61" s="6" t="inlineStr">
        <is>
          <t>GM-07</t>
        </is>
      </c>
      <c r="B61" s="6" t="inlineStr">
        <is>
          <t>Gmail</t>
        </is>
      </c>
      <c r="C61" s="6" t="inlineStr">
        <is>
          <t>P0</t>
        </is>
      </c>
      <c r="D61" s="6" t="inlineStr">
        <is>
          <t>No unread left</t>
        </is>
      </c>
      <c r="E61" s="6" t="inlineStr">
        <is>
          <t>After GM-06</t>
        </is>
      </c>
      <c r="F61" s="6" t="inlineStr">
        <is>
          <t>Screen again, Unread only ON</t>
        </is>
      </c>
      <c r="G61" s="6" t="inlineStr">
        <is>
          <t>Info toast 'No unread emails…'</t>
        </is>
      </c>
      <c r="H61" s="6" t="n"/>
      <c r="I61" s="6" t="n"/>
      <c r="J61" s="6" t="n"/>
      <c r="K61" s="6" t="n"/>
      <c r="L61" s="6" t="n"/>
      <c r="M61" s="6" t="n"/>
    </row>
    <row r="62">
      <c r="A62" s="6" t="inlineStr">
        <is>
          <t>GM-08</t>
        </is>
      </c>
      <c r="B62" s="6" t="inlineStr">
        <is>
          <t>Gmail</t>
        </is>
      </c>
      <c r="C62" s="6" t="inlineStr">
        <is>
          <t>P1</t>
        </is>
      </c>
      <c r="D62" s="6" t="inlineStr">
        <is>
          <t>Fetch all</t>
        </is>
      </c>
      <c r="E62" s="6" t="inlineStr">
        <is>
          <t>After GM-06</t>
        </is>
      </c>
      <c r="F62" s="6" t="inlineStr">
        <is>
          <t>Unread only OFF → Screen</t>
        </is>
      </c>
      <c r="G62" s="6" t="inlineStr">
        <is>
          <t>All fetched again</t>
        </is>
      </c>
      <c r="H62" s="6" t="n"/>
      <c r="I62" s="6" t="n"/>
      <c r="J62" s="6" t="n"/>
      <c r="K62" s="6" t="n"/>
      <c r="L62" s="6" t="n"/>
      <c r="M62" s="6" t="n"/>
    </row>
    <row r="63">
      <c r="A63" s="6" t="inlineStr">
        <is>
          <t>GM-09</t>
        </is>
      </c>
      <c r="B63" s="6" t="inlineStr">
        <is>
          <t>Gmail</t>
        </is>
      </c>
      <c r="C63" s="6" t="inlineStr">
        <is>
          <t>P1</t>
        </is>
      </c>
      <c r="D63" s="6" t="inlineStr">
        <is>
          <t>Keep unread</t>
        </is>
      </c>
      <c r="E63" s="6" t="inlineStr">
        <is>
          <t>Fresh unread email</t>
        </is>
      </c>
      <c r="F63" s="6" t="inlineStr">
        <is>
          <t>Mark read OFF → Screen</t>
        </is>
      </c>
      <c r="G63" s="6" t="inlineStr">
        <is>
          <t>Email stays unread</t>
        </is>
      </c>
      <c r="H63" s="6" t="n"/>
      <c r="I63" s="6" t="n"/>
      <c r="J63" s="6" t="n"/>
      <c r="K63" s="6" t="n"/>
      <c r="L63" s="6" t="n"/>
      <c r="M63" s="6" t="n"/>
    </row>
    <row r="64">
      <c r="A64" s="6" t="inlineStr">
        <is>
          <t>GM-10</t>
        </is>
      </c>
      <c r="B64" s="6" t="inlineStr">
        <is>
          <t>Gmail</t>
        </is>
      </c>
      <c r="C64" s="6" t="inlineStr">
        <is>
          <t>P0</t>
        </is>
      </c>
      <c r="D64" s="6" t="inlineStr">
        <is>
          <t>Create auto-screen watch</t>
        </is>
      </c>
      <c r="E64" s="6" t="inlineStr">
        <is>
          <t>Connected, JD filled</t>
        </is>
      </c>
      <c r="F64" s="6" t="inlineStr">
        <is>
          <t>Auto-screen → interval 2 → Turn on</t>
        </is>
      </c>
      <c r="G64" s="6" t="inlineStr">
        <is>
          <t>Toast; Settings lists watch enabled with interval</t>
        </is>
      </c>
      <c r="H64" s="6" t="n"/>
      <c r="I64" s="6" t="n"/>
      <c r="J64" s="6" t="n"/>
      <c r="K64" s="6" t="n"/>
      <c r="L64" s="6" t="n"/>
      <c r="M64" s="6" t="n"/>
    </row>
    <row r="65">
      <c r="A65" s="6" t="inlineStr">
        <is>
          <t>GM-11</t>
        </is>
      </c>
      <c r="B65" s="6" t="inlineStr">
        <is>
          <t>Gmail</t>
        </is>
      </c>
      <c r="C65" s="6" t="inlineStr">
        <is>
          <t>P0</t>
        </is>
      </c>
      <c r="D65" s="6" t="inlineStr">
        <is>
          <t>Auto-screen picks up new email</t>
        </is>
      </c>
      <c r="E65" s="6" t="inlineStr">
        <is>
          <t>GM-10</t>
        </is>
      </c>
      <c r="F65" s="6" t="inlineStr">
        <is>
          <t>Send resume email to label; wait ≤ 3 min</t>
        </is>
      </c>
      <c r="G65" s="6" t="inlineStr">
        <is>
          <t>Banner '1 new auto-screened batch'; nav badge; Review loads results; Save to history → run with source Auto; Dismiss acks</t>
        </is>
      </c>
      <c r="H65" s="6" t="n"/>
      <c r="I65" s="6" t="n"/>
      <c r="J65" s="6" t="n"/>
      <c r="K65" s="6" t="n"/>
      <c r="L65" s="6" t="n"/>
      <c r="M65" s="6" t="n"/>
    </row>
    <row r="66">
      <c r="A66" s="6" t="inlineStr">
        <is>
          <t>GM-12</t>
        </is>
      </c>
      <c r="B66" s="6" t="inlineStr">
        <is>
          <t>Gmail</t>
        </is>
      </c>
      <c r="C66" s="6" t="inlineStr">
        <is>
          <t>P1</t>
        </is>
      </c>
      <c r="D66" s="6" t="inlineStr">
        <is>
          <t>Run watch now</t>
        </is>
      </c>
      <c r="E66" s="6" t="inlineStr">
        <is>
          <t>GM-10</t>
        </is>
      </c>
      <c r="F66" s="6" t="inlineStr">
        <is>
          <t>Settings → Run now</t>
        </is>
      </c>
      <c r="G66" s="6" t="inlineStr">
        <is>
          <t>Toast with fetched count; last-run updates</t>
        </is>
      </c>
      <c r="H66" s="6" t="n"/>
      <c r="I66" s="6" t="n"/>
      <c r="J66" s="6" t="n"/>
      <c r="K66" s="6" t="n"/>
      <c r="L66" s="6" t="n"/>
      <c r="M66" s="6" t="n"/>
    </row>
    <row r="67">
      <c r="A67" s="6" t="inlineStr">
        <is>
          <t>GM-13</t>
        </is>
      </c>
      <c r="B67" s="6" t="inlineStr">
        <is>
          <t>Gmail</t>
        </is>
      </c>
      <c r="C67" s="6" t="inlineStr">
        <is>
          <t>P1</t>
        </is>
      </c>
      <c r="D67" s="6" t="inlineStr">
        <is>
          <t>Disable / enable watch</t>
        </is>
      </c>
      <c r="E67" s="6" t="inlineStr">
        <is>
          <t>GM-10</t>
        </is>
      </c>
      <c r="F67" s="6" t="inlineStr">
        <is>
          <t>Toggle off, wait; toggle on</t>
        </is>
      </c>
      <c r="G67" s="6" t="inlineStr">
        <is>
          <t>No results while off; resumes when on</t>
        </is>
      </c>
      <c r="H67" s="6" t="n"/>
      <c r="I67" s="6" t="n"/>
      <c r="J67" s="6" t="n"/>
      <c r="K67" s="6" t="n"/>
      <c r="L67" s="6" t="n"/>
      <c r="M67" s="6" t="n"/>
    </row>
    <row r="68">
      <c r="A68" s="6" t="inlineStr">
        <is>
          <t>GM-14</t>
        </is>
      </c>
      <c r="B68" s="6" t="inlineStr">
        <is>
          <t>Gmail</t>
        </is>
      </c>
      <c r="C68" s="6" t="inlineStr">
        <is>
          <t>P1</t>
        </is>
      </c>
      <c r="D68" s="6" t="inlineStr">
        <is>
          <t>Delete watch</t>
        </is>
      </c>
      <c r="E68" s="6" t="inlineStr">
        <is>
          <t>GM-10</t>
        </is>
      </c>
      <c r="F68" s="6" t="inlineStr">
        <is>
          <t>Delete</t>
        </is>
      </c>
      <c r="G68" s="6" t="inlineStr">
        <is>
          <t>Removed</t>
        </is>
      </c>
      <c r="H68" s="6" t="n"/>
      <c r="I68" s="6" t="n"/>
      <c r="J68" s="6" t="n"/>
      <c r="K68" s="6" t="n"/>
      <c r="L68" s="6" t="n"/>
      <c r="M68" s="6" t="n"/>
    </row>
    <row r="69">
      <c r="A69" s="6" t="inlineStr">
        <is>
          <t>GM-15</t>
        </is>
      </c>
      <c r="B69" s="6" t="inlineStr">
        <is>
          <t>Gmail</t>
        </is>
      </c>
      <c r="C69" s="6" t="inlineStr">
        <is>
          <t>P1</t>
        </is>
      </c>
      <c r="D69" s="6" t="inlineStr">
        <is>
          <t>Email before send scope</t>
        </is>
      </c>
      <c r="E69" s="6" t="inlineStr">
        <is>
          <t>Connected without send</t>
        </is>
      </c>
      <c r="F69" s="6" t="inlineStr">
        <is>
          <t>Expand candidate → Email candidate → Send</t>
        </is>
      </c>
      <c r="G69" s="6" t="inlineStr">
        <is>
          <t>403 toast asking to reconnect</t>
        </is>
      </c>
      <c r="H69" s="6" t="n"/>
      <c r="I69" s="6" t="n"/>
      <c r="J69" s="6" t="n"/>
      <c r="K69" s="6" t="n"/>
      <c r="L69" s="6" t="n"/>
      <c r="M69" s="6" t="n"/>
    </row>
    <row r="70">
      <c r="A70" s="6" t="inlineStr">
        <is>
          <t>GM-16</t>
        </is>
      </c>
      <c r="B70" s="6" t="inlineStr">
        <is>
          <t>Gmail</t>
        </is>
      </c>
      <c r="C70" s="6" t="inlineStr">
        <is>
          <t>P0</t>
        </is>
      </c>
      <c r="D70" s="6" t="inlineStr">
        <is>
          <t>Grant send scope &amp; email</t>
        </is>
      </c>
      <c r="E70" s="6" t="inlineStr">
        <is>
          <t>GM-15</t>
        </is>
      </c>
      <c r="F70" s="6" t="inlineStr">
        <is>
          <t>Settings → Reconnect to enable sending → approve → Email candidate → Send</t>
        </is>
      </c>
      <c r="G70" s="6" t="inlineStr">
        <is>
          <t>Send permission ●; recipient receives email from connected account</t>
        </is>
      </c>
      <c r="H70" s="6" t="n"/>
      <c r="I70" s="6" t="n"/>
      <c r="J70" s="6" t="n"/>
      <c r="K70" s="6" t="n"/>
      <c r="L70" s="6" t="n"/>
      <c r="M70" s="6" t="n"/>
    </row>
    <row r="71">
      <c r="A71" s="6" t="inlineStr">
        <is>
          <t>GM-17</t>
        </is>
      </c>
      <c r="B71" s="6" t="inlineStr">
        <is>
          <t>Gmail</t>
        </is>
      </c>
      <c r="C71" s="6" t="inlineStr">
        <is>
          <t>P1</t>
        </is>
      </c>
      <c r="D71" s="6" t="inlineStr">
        <is>
          <t>Disconnect</t>
        </is>
      </c>
      <c r="E71" s="6" t="inlineStr">
        <is>
          <t>Connected</t>
        </is>
      </c>
      <c r="F71" s="6" t="inlineStr">
        <is>
          <t>Settings → Disconnect</t>
        </is>
      </c>
      <c r="G71" s="6" t="inlineStr">
        <is>
          <t>Not connected; dashboard Gmail button disabled</t>
        </is>
      </c>
      <c r="H71" s="6" t="n"/>
      <c r="I71" s="6" t="n"/>
      <c r="J71" s="6" t="n"/>
      <c r="K71" s="6" t="n"/>
      <c r="L71" s="6" t="n"/>
      <c r="M71" s="6" t="n"/>
    </row>
    <row r="72">
      <c r="A72" s="6" t="inlineStr">
        <is>
          <t>HIS-01</t>
        </is>
      </c>
      <c r="B72" s="6" t="inlineStr">
        <is>
          <t>History</t>
        </is>
      </c>
      <c r="C72" s="6" t="inlineStr">
        <is>
          <t>P1</t>
        </is>
      </c>
      <c r="D72" s="6" t="inlineStr">
        <is>
          <t>Run cards</t>
        </is>
      </c>
      <c r="E72" s="6" t="inlineStr">
        <is>
          <t>3 runs (upload/gmail/auto)</t>
        </is>
      </c>
      <c r="F72" s="6" t="inlineStr">
        <is>
          <t>Open History</t>
        </is>
      </c>
      <c r="G72" s="6" t="inlineStr">
        <is>
          <t>Source tag, date, metrics, top candidate; newest first</t>
        </is>
      </c>
      <c r="H72" s="6" t="n"/>
      <c r="I72" s="6" t="n"/>
      <c r="J72" s="6" t="n"/>
      <c r="K72" s="6" t="n"/>
      <c r="L72" s="6" t="n"/>
      <c r="M72" s="6" t="n"/>
    </row>
    <row r="73">
      <c r="A73" s="6" t="inlineStr">
        <is>
          <t>HIS-02</t>
        </is>
      </c>
      <c r="B73" s="6" t="inlineStr">
        <is>
          <t>History</t>
        </is>
      </c>
      <c r="C73" s="6" t="inlineStr">
        <is>
          <t>P0</t>
        </is>
      </c>
      <c r="D73" s="6" t="inlineStr">
        <is>
          <t>View run</t>
        </is>
      </c>
      <c r="E73" s="6" t="inlineStr">
        <is>
          <t>HIS-01</t>
        </is>
      </c>
      <c r="F73" s="6" t="inlineStr">
        <is>
          <t>Click View</t>
        </is>
      </c>
      <c r="G73" s="6" t="inlineStr">
        <is>
          <t>Modal with results incl. saved statuses/notes; edits persist</t>
        </is>
      </c>
      <c r="H73" s="6" t="n"/>
      <c r="I73" s="6" t="n"/>
      <c r="J73" s="6" t="n"/>
      <c r="K73" s="6" t="n"/>
      <c r="L73" s="6" t="n"/>
      <c r="M73" s="6" t="n"/>
    </row>
    <row r="74">
      <c r="A74" s="6" t="inlineStr">
        <is>
          <t>HIS-03</t>
        </is>
      </c>
      <c r="B74" s="6" t="inlineStr">
        <is>
          <t>History</t>
        </is>
      </c>
      <c r="C74" s="6" t="inlineStr">
        <is>
          <t>P1</t>
        </is>
      </c>
      <c r="D74" s="6" t="inlineStr">
        <is>
          <t>Export from card</t>
        </is>
      </c>
      <c r="E74" s="6" t="inlineStr">
        <is>
          <t>HIS-01</t>
        </is>
      </c>
      <c r="F74" s="6" t="inlineStr">
        <is>
          <t>Click Export</t>
        </is>
      </c>
      <c r="G74" s="6" t="inlineStr">
        <is>
          <t>Excel of that run</t>
        </is>
      </c>
      <c r="H74" s="6" t="n"/>
      <c r="I74" s="6" t="n"/>
      <c r="J74" s="6" t="n"/>
      <c r="K74" s="6" t="n"/>
      <c r="L74" s="6" t="n"/>
      <c r="M74" s="6" t="n"/>
    </row>
    <row r="75">
      <c r="A75" s="6" t="inlineStr">
        <is>
          <t>HIS-04</t>
        </is>
      </c>
      <c r="B75" s="6" t="inlineStr">
        <is>
          <t>History</t>
        </is>
      </c>
      <c r="C75" s="6" t="inlineStr">
        <is>
          <t>P1</t>
        </is>
      </c>
      <c r="D75" s="6" t="inlineStr">
        <is>
          <t>Delete run</t>
        </is>
      </c>
      <c r="E75" s="6" t="inlineStr">
        <is>
          <t>HIS-01</t>
        </is>
      </c>
      <c r="F75" s="6" t="inlineStr">
        <is>
          <t>Click delete</t>
        </is>
      </c>
      <c r="G75" s="6" t="inlineStr">
        <is>
          <t>Card removed; reviews cascade-deleted</t>
        </is>
      </c>
      <c r="H75" s="6" t="n"/>
      <c r="I75" s="6" t="n"/>
      <c r="J75" s="6" t="n"/>
      <c r="K75" s="6" t="n"/>
      <c r="L75" s="6" t="n"/>
      <c r="M75" s="6" t="n"/>
    </row>
    <row r="76">
      <c r="A76" s="6" t="inlineStr">
        <is>
          <t>HIS-05</t>
        </is>
      </c>
      <c r="B76" s="6" t="inlineStr">
        <is>
          <t>History</t>
        </is>
      </c>
      <c r="C76" s="6" t="inlineStr">
        <is>
          <t>P2</t>
        </is>
      </c>
      <c r="D76" s="6" t="inlineStr">
        <is>
          <t>Deep link</t>
        </is>
      </c>
      <c r="E76" s="6" t="inlineStr">
        <is>
          <t>HIS-01</t>
        </is>
      </c>
      <c r="F76" s="6" t="inlineStr">
        <is>
          <t>Open /history?run=&lt;id&gt;</t>
        </is>
      </c>
      <c r="G76" s="6" t="inlineStr">
        <is>
          <t>That run's modal opens</t>
        </is>
      </c>
      <c r="H76" s="6" t="n"/>
      <c r="I76" s="6" t="n"/>
      <c r="J76" s="6" t="n"/>
      <c r="K76" s="6" t="n"/>
      <c r="L76" s="6" t="n"/>
      <c r="M76" s="6" t="n"/>
    </row>
    <row r="77">
      <c r="A77" s="6" t="inlineStr">
        <is>
          <t>TP-01</t>
        </is>
      </c>
      <c r="B77" s="6" t="inlineStr">
        <is>
          <t>Talent pool</t>
        </is>
      </c>
      <c r="C77" s="6" t="inlineStr">
        <is>
          <t>P1</t>
        </is>
      </c>
      <c r="D77" s="6" t="inlineStr">
        <is>
          <t>Merged people</t>
        </is>
      </c>
      <c r="E77" s="6" t="inlineStr">
        <is>
          <t>Runs exist</t>
        </is>
      </c>
      <c r="F77" s="6" t="inlineStr">
        <is>
          <t>Open Talent pool</t>
        </is>
      </c>
      <c r="G77" s="6" t="inlineStr">
        <is>
          <t>One card per unique email; best score &amp; role; skills union; run chips link to history</t>
        </is>
      </c>
      <c r="H77" s="6" t="n"/>
      <c r="I77" s="6" t="n"/>
      <c r="J77" s="6" t="n"/>
      <c r="K77" s="6" t="n"/>
      <c r="L77" s="6" t="n"/>
      <c r="M77" s="6" t="n"/>
    </row>
    <row r="78">
      <c r="A78" s="6" t="inlineStr">
        <is>
          <t>TP-02</t>
        </is>
      </c>
      <c r="B78" s="6" t="inlineStr">
        <is>
          <t>Talent pool</t>
        </is>
      </c>
      <c r="C78" s="6" t="inlineStr">
        <is>
          <t>P1</t>
        </is>
      </c>
      <c r="D78" s="6" t="inlineStr">
        <is>
          <t>Filters</t>
        </is>
      </c>
      <c r="E78" s="6" t="inlineStr">
        <is>
          <t>TP-01</t>
        </is>
      </c>
      <c r="F78" s="6" t="inlineStr">
        <is>
          <t>Skill, min experience, min score, text</t>
        </is>
      </c>
      <c r="G78" s="6" t="inlineStr">
        <is>
          <t>Correct subset</t>
        </is>
      </c>
      <c r="H78" s="6" t="n"/>
      <c r="I78" s="6" t="n"/>
      <c r="J78" s="6" t="n"/>
      <c r="K78" s="6" t="n"/>
      <c r="L78" s="6" t="n"/>
      <c r="M78" s="6" t="n"/>
    </row>
    <row r="79">
      <c r="A79" s="6" t="inlineStr">
        <is>
          <t>AN-01</t>
        </is>
      </c>
      <c r="B79" s="6" t="inlineStr">
        <is>
          <t>Analytics</t>
        </is>
      </c>
      <c r="C79" s="6" t="inlineStr">
        <is>
          <t>P1</t>
        </is>
      </c>
      <c r="D79" s="6" t="inlineStr">
        <is>
          <t>Charts</t>
        </is>
      </c>
      <c r="E79" s="6" t="inlineStr">
        <is>
          <t>Runs exist</t>
        </is>
      </c>
      <c r="F79" s="6" t="inlineStr">
        <is>
          <t>Open Analytics; hover bars; toggle Show as tables</t>
        </is>
      </c>
      <c r="G79" s="6" t="inlineStr">
        <is>
          <t>KPIs count up; tooltips; every chart has table view</t>
        </is>
      </c>
      <c r="H79" s="6" t="n"/>
      <c r="I79" s="6" t="n"/>
      <c r="J79" s="6" t="n"/>
      <c r="K79" s="6" t="n"/>
      <c r="L79" s="6" t="n"/>
      <c r="M79" s="6" t="n"/>
    </row>
    <row r="80">
      <c r="A80" s="6" t="inlineStr">
        <is>
          <t>AN-02</t>
        </is>
      </c>
      <c r="B80" s="6" t="inlineStr">
        <is>
          <t>Analytics</t>
        </is>
      </c>
      <c r="C80" s="6" t="inlineStr">
        <is>
          <t>P1</t>
        </is>
      </c>
      <c r="D80" s="6" t="inlineStr">
        <is>
          <t>Funnel matches statuses</t>
        </is>
      </c>
      <c r="E80" s="6" t="inlineStr">
        <is>
          <t>RES-03/09/12 done</t>
        </is>
      </c>
      <c r="F80" s="6" t="inlineStr">
        <is>
          <t>Read funnel</t>
        </is>
      </c>
      <c r="G80" s="6" t="inlineStr">
        <is>
          <t>Numbers match statuses set</t>
        </is>
      </c>
      <c r="H80" s="6" t="n"/>
      <c r="I80" s="6" t="n"/>
      <c r="J80" s="6" t="n"/>
      <c r="K80" s="6" t="n"/>
      <c r="L80" s="6" t="n"/>
      <c r="M80" s="6" t="n"/>
    </row>
    <row r="81">
      <c r="A81" s="6" t="inlineStr">
        <is>
          <t>PROF-01</t>
        </is>
      </c>
      <c r="B81" s="6" t="inlineStr">
        <is>
          <t>Profile</t>
        </is>
      </c>
      <c r="C81" s="6" t="inlineStr">
        <is>
          <t>P1</t>
        </is>
      </c>
      <c r="D81" s="6" t="inlineStr">
        <is>
          <t>Edit profile</t>
        </is>
      </c>
      <c r="E81" s="6" t="inlineStr">
        <is>
          <t>Signed in</t>
        </is>
      </c>
      <c r="F81" s="6" t="inlineStr">
        <is>
          <t>Edit name &amp; company → Save → reload</t>
        </is>
      </c>
      <c r="G81" s="6" t="inlineStr">
        <is>
          <t>Persisted; avatar initials update</t>
        </is>
      </c>
      <c r="H81" s="6" t="n"/>
      <c r="I81" s="6" t="n"/>
      <c r="J81" s="6" t="n"/>
      <c r="K81" s="6" t="n"/>
      <c r="L81" s="6" t="n"/>
      <c r="M81" s="6" t="n"/>
    </row>
    <row r="82">
      <c r="A82" s="6" t="inlineStr">
        <is>
          <t>SET-01</t>
        </is>
      </c>
      <c r="B82" s="6" t="inlineStr">
        <is>
          <t>Settings</t>
        </is>
      </c>
      <c r="C82" s="6" t="inlineStr">
        <is>
          <t>P1</t>
        </is>
      </c>
      <c r="D82" s="6" t="inlineStr">
        <is>
          <t>Custom skill affects matching</t>
        </is>
      </c>
      <c r="E82" s="6" t="inlineStr">
        <is>
          <t>Connected backend</t>
        </is>
      </c>
      <c r="F82" s="6" t="inlineStr">
        <is>
          <t>Add 'ListenFirst Platform' alias 'LF platform'; screen resume containing 'LF platform'; remove skill; screen again</t>
        </is>
      </c>
      <c r="G82" s="6" t="inlineStr">
        <is>
          <t>Matched while present; not matched after removal</t>
        </is>
      </c>
      <c r="H82" s="6" t="n"/>
      <c r="I82" s="6" t="n"/>
      <c r="J82" s="6" t="n"/>
      <c r="K82" s="6" t="n"/>
      <c r="L82" s="6" t="n"/>
      <c r="M82" s="6" t="n"/>
    </row>
    <row r="83">
      <c r="A83" s="6" t="inlineStr">
        <is>
          <t>SET-02</t>
        </is>
      </c>
      <c r="B83" s="6" t="inlineStr">
        <is>
          <t>Settings</t>
        </is>
      </c>
      <c r="C83" s="6" t="inlineStr">
        <is>
          <t>P2</t>
        </is>
      </c>
      <c r="D83" s="6" t="inlineStr">
        <is>
          <t>Theme in Settings</t>
        </is>
      </c>
      <c r="E83" s="6" t="inlineStr">
        <is>
          <t>-</t>
        </is>
      </c>
      <c r="F83" s="6" t="inlineStr">
        <is>
          <t>Choose Dark/Light</t>
        </is>
      </c>
      <c r="G83" s="6" t="inlineStr">
        <is>
          <t>Matches header toggle; persists</t>
        </is>
      </c>
      <c r="H83" s="6" t="n"/>
      <c r="I83" s="6" t="n"/>
      <c r="J83" s="6" t="n"/>
      <c r="K83" s="6" t="n"/>
      <c r="L83" s="6" t="n"/>
      <c r="M83" s="6" t="n"/>
    </row>
    <row r="84">
      <c r="A84" s="6" t="inlineStr">
        <is>
          <t>SEC-01</t>
        </is>
      </c>
      <c r="B84" s="6" t="inlineStr">
        <is>
          <t>Security</t>
        </is>
      </c>
      <c r="C84" s="6" t="inlineStr">
        <is>
          <t>P0</t>
        </is>
      </c>
      <c r="D84" s="6" t="inlineStr">
        <is>
          <t>Data isolation (UI)</t>
        </is>
      </c>
      <c r="E84" s="6" t="inlineStr">
        <is>
          <t>User A has data</t>
        </is>
      </c>
      <c r="F84" s="6" t="inlineStr">
        <is>
          <t>Sign in as User B</t>
        </is>
      </c>
      <c r="G84" s="6" t="inlineStr">
        <is>
          <t>B sees none of A's history, talent pool, jobs, analytics</t>
        </is>
      </c>
      <c r="H84" s="6" t="n"/>
      <c r="I84" s="6" t="n"/>
      <c r="J84" s="6" t="n"/>
      <c r="K84" s="6" t="n"/>
      <c r="L84" s="6" t="n"/>
      <c r="M84" s="6" t="n"/>
    </row>
    <row r="85">
      <c r="A85" s="6" t="inlineStr">
        <is>
          <t>SEC-02</t>
        </is>
      </c>
      <c r="B85" s="6" t="inlineStr">
        <is>
          <t>Security</t>
        </is>
      </c>
      <c r="C85" s="6" t="inlineStr">
        <is>
          <t>P0</t>
        </is>
      </c>
      <c r="D85" s="6" t="inlineStr">
        <is>
          <t>Data isolation (RLS)</t>
        </is>
      </c>
      <c r="E85" s="6" t="inlineStr">
        <is>
          <t>B's session token</t>
        </is>
      </c>
      <c r="F85" s="6" t="inlineStr">
        <is>
          <t>Call Supabase REST screening_runs?id=eq.&lt;A run id&gt;</t>
        </is>
      </c>
      <c r="G85" s="6" t="inlineStr">
        <is>
          <t>Empty result</t>
        </is>
      </c>
      <c r="H85" s="6" t="n"/>
      <c r="I85" s="6" t="n"/>
      <c r="J85" s="6" t="n"/>
      <c r="K85" s="6" t="n"/>
      <c r="L85" s="6" t="n"/>
      <c r="M85" s="6" t="n"/>
    </row>
    <row r="86">
      <c r="A86" s="6" t="inlineStr">
        <is>
          <t>SEC-03</t>
        </is>
      </c>
      <c r="B86" s="6" t="inlineStr">
        <is>
          <t>Security</t>
        </is>
      </c>
      <c r="C86" s="6" t="inlineStr">
        <is>
          <t>P1</t>
        </is>
      </c>
      <c r="D86" s="6" t="inlineStr">
        <is>
          <t>File type rejection</t>
        </is>
      </c>
      <c r="E86" s="6" t="inlineStr">
        <is>
          <t>-</t>
        </is>
      </c>
      <c r="F86" s="6" t="inlineStr">
        <is>
          <t>Upload .exe / .zip</t>
        </is>
      </c>
      <c r="G86" s="6" t="inlineStr">
        <is>
          <t>400 unsupported type</t>
        </is>
      </c>
      <c r="H86" s="6" t="n"/>
      <c r="I86" s="6" t="n"/>
      <c r="J86" s="6" t="n"/>
      <c r="K86" s="6" t="n"/>
      <c r="L86" s="6" t="n"/>
      <c r="M86" s="6" t="n"/>
    </row>
    <row r="87">
      <c r="A87" s="6" t="inlineStr">
        <is>
          <t>SEC-04</t>
        </is>
      </c>
      <c r="B87" s="6" t="inlineStr">
        <is>
          <t>Security</t>
        </is>
      </c>
      <c r="C87" s="6" t="inlineStr">
        <is>
          <t>P1</t>
        </is>
      </c>
      <c r="D87" s="6" t="inlineStr">
        <is>
          <t>Rate limit</t>
        </is>
      </c>
      <c r="E87" s="6" t="inlineStr">
        <is>
          <t>Script</t>
        </is>
      </c>
      <c r="F87" s="6" t="inlineStr">
        <is>
          <t>31+ /api/screen calls in 60s</t>
        </is>
      </c>
      <c r="G87" s="6" t="inlineStr">
        <is>
          <t>429 'Too many screening requests'</t>
        </is>
      </c>
      <c r="H87" s="6" t="n"/>
      <c r="I87" s="6" t="n"/>
      <c r="J87" s="6" t="n"/>
      <c r="K87" s="6" t="n"/>
      <c r="L87" s="6" t="n"/>
      <c r="M87" s="6" t="n"/>
    </row>
    <row r="88">
      <c r="A88" s="6" t="inlineStr">
        <is>
          <t>SEC-05</t>
        </is>
      </c>
      <c r="B88" s="6" t="inlineStr">
        <is>
          <t>Security</t>
        </is>
      </c>
      <c r="C88" s="6" t="inlineStr">
        <is>
          <t>P1</t>
        </is>
      </c>
      <c r="D88" s="6" t="inlineStr">
        <is>
          <t>Logs</t>
        </is>
      </c>
      <c r="E88" s="6" t="inlineStr">
        <is>
          <t>Backend log</t>
        </is>
      </c>
      <c r="F88" s="6" t="inlineStr">
        <is>
          <t>Inspect</t>
        </is>
      </c>
      <c r="G88" s="6" t="inlineStr">
        <is>
          <t>Request id + duration per request; no resume text/PII</t>
        </is>
      </c>
      <c r="H88" s="6" t="n"/>
      <c r="I88" s="6" t="n"/>
      <c r="J88" s="6" t="n"/>
      <c r="K88" s="6" t="n"/>
      <c r="L88" s="6" t="n"/>
      <c r="M88" s="6" t="n"/>
    </row>
    <row r="89">
      <c r="A89" s="6" t="inlineStr">
        <is>
          <t>SEC-06</t>
        </is>
      </c>
      <c r="B89" s="6" t="inlineStr">
        <is>
          <t>Security</t>
        </is>
      </c>
      <c r="C89" s="6" t="inlineStr">
        <is>
          <t>P0</t>
        </is>
      </c>
      <c r="D89" s="6" t="inlineStr">
        <is>
          <t>Secrets not committed</t>
        </is>
      </c>
      <c r="E89" s="6" t="inlineStr">
        <is>
          <t>Repo</t>
        </is>
      </c>
      <c r="F89" s="6" t="inlineStr">
        <is>
          <t>git status / git log</t>
        </is>
      </c>
      <c r="G89" s="6" t="inlineStr">
        <is>
          <t>credentials.json, token.json, .env absent</t>
        </is>
      </c>
      <c r="H89" s="6" t="n"/>
      <c r="I89" s="6" t="n"/>
      <c r="J89" s="6" t="n"/>
      <c r="K89" s="6" t="n"/>
      <c r="L89" s="6" t="n"/>
      <c r="M89" s="6" t="n"/>
    </row>
    <row r="90">
      <c r="A90" s="6" t="inlineStr">
        <is>
          <t>API-01</t>
        </is>
      </c>
      <c r="B90" s="6" t="inlineStr">
        <is>
          <t>API</t>
        </is>
      </c>
      <c r="C90" s="6" t="inlineStr">
        <is>
          <t>P1</t>
        </is>
      </c>
      <c r="D90" s="6" t="inlineStr">
        <is>
          <t>Health</t>
        </is>
      </c>
      <c r="E90" s="6" t="inlineStr">
        <is>
          <t>-</t>
        </is>
      </c>
      <c r="F90" s="6" t="inlineStr">
        <is>
          <t>GET /api/health</t>
        </is>
      </c>
      <c r="G90" s="6" t="inlineStr">
        <is>
          <t>{status:ok, version}</t>
        </is>
      </c>
      <c r="H90" s="6" t="n"/>
      <c r="I90" s="6" t="n"/>
      <c r="J90" s="6" t="n"/>
      <c r="K90" s="6" t="n"/>
      <c r="L90" s="6" t="n"/>
      <c r="M90" s="6" t="n"/>
    </row>
    <row r="91">
      <c r="A91" s="6" t="inlineStr">
        <is>
          <t>API-02</t>
        </is>
      </c>
      <c r="B91" s="6" t="inlineStr">
        <is>
          <t>API</t>
        </is>
      </c>
      <c r="C91" s="6" t="inlineStr">
        <is>
          <t>P1</t>
        </is>
      </c>
      <c r="D91" s="6" t="inlineStr">
        <is>
          <t>Readiness</t>
        </is>
      </c>
      <c r="E91" s="6" t="inlineStr">
        <is>
          <t>-</t>
        </is>
      </c>
      <c r="F91" s="6" t="inlineStr">
        <is>
          <t>GET /api/ready</t>
        </is>
      </c>
      <c r="G91" s="6" t="inlineStr">
        <is>
          <t>model, gmail flags, limits, weights, watch counts</t>
        </is>
      </c>
      <c r="H91" s="6" t="n"/>
      <c r="I91" s="6" t="n"/>
      <c r="J91" s="6" t="n"/>
      <c r="K91" s="6" t="n"/>
      <c r="L91" s="6" t="n"/>
      <c r="M91" s="6" t="n"/>
    </row>
    <row r="92">
      <c r="A92" s="6" t="inlineStr">
        <is>
          <t>API-03</t>
        </is>
      </c>
      <c r="B92" s="6" t="inlineStr">
        <is>
          <t>API</t>
        </is>
      </c>
      <c r="C92" s="6" t="inlineStr">
        <is>
          <t>P0</t>
        </is>
      </c>
      <c r="D92" s="6" t="inlineStr">
        <is>
          <t>Screen contract</t>
        </is>
      </c>
      <c r="E92" s="6" t="inlineStr">
        <is>
          <t>3 files</t>
        </is>
      </c>
      <c r="F92" s="6" t="inlineStr">
        <is>
          <t>POST /api/screen with weights</t>
        </is>
      </c>
      <c r="G92" s="6" t="inlineStr">
        <is>
          <t>ranked sorted desc; scores in [0,100]; alternative_groups, extra_requirements, weights; per-candidate evidence, improvements, brief, interview_questions</t>
        </is>
      </c>
      <c r="H92" s="6" t="n"/>
      <c r="I92" s="6" t="n"/>
      <c r="J92" s="6" t="n"/>
      <c r="K92" s="6" t="n"/>
      <c r="L92" s="6" t="n"/>
      <c r="M92" s="6" t="n"/>
    </row>
    <row r="93">
      <c r="A93" s="6" t="inlineStr">
        <is>
          <t>API-04</t>
        </is>
      </c>
      <c r="B93" s="6" t="inlineStr">
        <is>
          <t>API</t>
        </is>
      </c>
      <c r="C93" s="6" t="inlineStr">
        <is>
          <t>P1</t>
        </is>
      </c>
      <c r="D93" s="6" t="inlineStr">
        <is>
          <t>Validation</t>
        </is>
      </c>
      <c r="E93" s="6" t="inlineStr">
        <is>
          <t>-</t>
        </is>
      </c>
      <c r="F93" s="6" t="inlineStr">
        <is>
          <t>POST /api/screen without description</t>
        </is>
      </c>
      <c r="G93" s="6" t="inlineStr">
        <is>
          <t>400</t>
        </is>
      </c>
      <c r="H93" s="6" t="n"/>
      <c r="I93" s="6" t="n"/>
      <c r="J93" s="6" t="n"/>
      <c r="K93" s="6" t="n"/>
      <c r="L93" s="6" t="n"/>
      <c r="M93" s="6" t="n"/>
    </row>
    <row r="94">
      <c r="A94" s="6" t="inlineStr">
        <is>
          <t>API-05</t>
        </is>
      </c>
      <c r="B94" s="6" t="inlineStr">
        <is>
          <t>API</t>
        </is>
      </c>
      <c r="C94" s="6" t="inlineStr">
        <is>
          <t>P1</t>
        </is>
      </c>
      <c r="D94" s="6" t="inlineStr">
        <is>
          <t>JD analyze</t>
        </is>
      </c>
      <c r="E94" s="6" t="inlineStr">
        <is>
          <t>-</t>
        </is>
      </c>
      <c r="F94" s="6" t="inlineStr">
        <is>
          <t>POST /api/jd/analyze</t>
        </is>
      </c>
      <c r="G94" s="6" t="inlineStr">
        <is>
          <t>score, grade, issues[]</t>
        </is>
      </c>
      <c r="H94" s="6" t="n"/>
      <c r="I94" s="6" t="n"/>
      <c r="J94" s="6" t="n"/>
      <c r="K94" s="6" t="n"/>
      <c r="L94" s="6" t="n"/>
      <c r="M94" s="6" t="n"/>
    </row>
    <row r="95">
      <c r="A95" s="6" t="inlineStr">
        <is>
          <t>API-06</t>
        </is>
      </c>
      <c r="B95" s="6" t="inlineStr">
        <is>
          <t>API</t>
        </is>
      </c>
      <c r="C95" s="6" t="inlineStr">
        <is>
          <t>P1</t>
        </is>
      </c>
      <c r="D95" s="6" t="inlineStr">
        <is>
          <t>Export</t>
        </is>
      </c>
      <c r="E95" s="6" t="inlineStr">
        <is>
          <t>-</t>
        </is>
      </c>
      <c r="F95" s="6" t="inlineStr">
        <is>
          <t>POST /api/export with status/notes</t>
        </is>
      </c>
      <c r="G95" s="6" t="inlineStr">
        <is>
          <t>xlsx; filename from title</t>
        </is>
      </c>
      <c r="H95" s="6" t="n"/>
      <c r="I95" s="6" t="n"/>
      <c r="J95" s="6" t="n"/>
      <c r="K95" s="6" t="n"/>
      <c r="L95" s="6" t="n"/>
      <c r="M95" s="6" t="n"/>
    </row>
    <row r="96">
      <c r="A96" s="6" t="inlineStr">
        <is>
          <t>API-07</t>
        </is>
      </c>
      <c r="B96" s="6" t="inlineStr">
        <is>
          <t>API</t>
        </is>
      </c>
      <c r="C96" s="6" t="inlineStr">
        <is>
          <t>P2</t>
        </is>
      </c>
      <c r="D96" s="6" t="inlineStr">
        <is>
          <t>Skills CRUD</t>
        </is>
      </c>
      <c r="E96" s="6" t="inlineStr">
        <is>
          <t>-</t>
        </is>
      </c>
      <c r="F96" s="6" t="inlineStr">
        <is>
          <t>POST/GET/DELETE /api/skills/custom</t>
        </is>
      </c>
      <c r="G96" s="6" t="inlineStr">
        <is>
          <t>Round-trips</t>
        </is>
      </c>
      <c r="H96" s="6" t="n"/>
      <c r="I96" s="6" t="n"/>
      <c r="J96" s="6" t="n"/>
      <c r="K96" s="6" t="n"/>
      <c r="L96" s="6" t="n"/>
      <c r="M96" s="6" t="n"/>
    </row>
    <row r="97">
      <c r="A97" s="6" t="inlineStr">
        <is>
          <t>API-08</t>
        </is>
      </c>
      <c r="B97" s="6" t="inlineStr">
        <is>
          <t>API</t>
        </is>
      </c>
      <c r="C97" s="6" t="inlineStr">
        <is>
          <t>P2</t>
        </is>
      </c>
      <c r="D97" s="6" t="inlineStr">
        <is>
          <t>Watches CRUD</t>
        </is>
      </c>
      <c r="E97" s="6" t="inlineStr">
        <is>
          <t>Gmail connected</t>
        </is>
      </c>
      <c r="F97" s="6" t="inlineStr">
        <is>
          <t>POST/PATCH/run/DELETE /api/watches; results?unacked=true</t>
        </is>
      </c>
      <c r="G97" s="6" t="inlineStr">
        <is>
          <t>Round-trips</t>
        </is>
      </c>
      <c r="H97" s="6" t="n"/>
      <c r="I97" s="6" t="n"/>
      <c r="J97" s="6" t="n"/>
      <c r="K97" s="6" t="n"/>
      <c r="L97" s="6" t="n"/>
      <c r="M97" s="6" t="n"/>
    </row>
    <row r="98">
      <c r="A98" s="6" t="inlineStr">
        <is>
          <t>NF-01</t>
        </is>
      </c>
      <c r="B98" s="6" t="inlineStr">
        <is>
          <t>Non-functional</t>
        </is>
      </c>
      <c r="C98" s="6" t="inlineStr">
        <is>
          <t>P1</t>
        </is>
      </c>
      <c r="D98" s="6" t="inlineStr">
        <is>
          <t>Warm-up &amp; speed</t>
        </is>
      </c>
      <c r="E98" s="6" t="inlineStr">
        <is>
          <t>Fresh backend</t>
        </is>
      </c>
      <c r="F98" s="6" t="inlineStr">
        <is>
          <t>Time first and second 10-resume screen</t>
        </is>
      </c>
      <c r="G98" s="6" t="inlineStr">
        <is>
          <t>&lt; 15s first; &lt; 5s after</t>
        </is>
      </c>
      <c r="H98" s="6" t="n"/>
      <c r="I98" s="6" t="n"/>
      <c r="J98" s="6" t="n"/>
      <c r="K98" s="6" t="n"/>
      <c r="L98" s="6" t="n"/>
      <c r="M98" s="6" t="n"/>
    </row>
    <row r="99">
      <c r="A99" s="6" t="inlineStr">
        <is>
          <t>NF-02</t>
        </is>
      </c>
      <c r="B99" s="6" t="inlineStr">
        <is>
          <t>Non-functional</t>
        </is>
      </c>
      <c r="C99" s="6" t="inlineStr">
        <is>
          <t>P2</t>
        </is>
      </c>
      <c r="D99" s="6" t="inlineStr">
        <is>
          <t>300-resume batch</t>
        </is>
      </c>
      <c r="E99" s="6" t="inlineStr">
        <is>
          <t>300 files</t>
        </is>
      </c>
      <c r="F99" s="6" t="inlineStr">
        <is>
          <t>Screen; use filters</t>
        </is>
      </c>
      <c r="G99" s="6" t="inlineStr">
        <is>
          <t>Completes; table usable</t>
        </is>
      </c>
      <c r="H99" s="6" t="n"/>
      <c r="I99" s="6" t="n"/>
      <c r="J99" s="6" t="n"/>
      <c r="K99" s="6" t="n"/>
      <c r="L99" s="6" t="n"/>
      <c r="M99" s="6" t="n"/>
    </row>
    <row r="100">
      <c r="A100" s="6" t="inlineStr">
        <is>
          <t>NF-03</t>
        </is>
      </c>
      <c r="B100" s="6" t="inlineStr">
        <is>
          <t>Non-functional</t>
        </is>
      </c>
      <c r="C100" s="6" t="inlineStr">
        <is>
          <t>P2</t>
        </is>
      </c>
      <c r="D100" s="6" t="inlineStr">
        <is>
          <t>Lighthouse</t>
        </is>
      </c>
      <c r="E100" s="6" t="inlineStr">
        <is>
          <t>Dashboard</t>
        </is>
      </c>
      <c r="F100" s="6" t="inlineStr">
        <is>
          <t>Run Lighthouse desktop</t>
        </is>
      </c>
      <c r="G100" s="6" t="inlineStr">
        <is>
          <t>Performance ≥ 85; Accessibility ≥ 90</t>
        </is>
      </c>
      <c r="H100" s="6" t="n"/>
      <c r="I100" s="6" t="n"/>
      <c r="J100" s="6" t="n"/>
      <c r="K100" s="6" t="n"/>
      <c r="L100" s="6" t="n"/>
      <c r="M100" s="6" t="n"/>
    </row>
    <row r="101">
      <c r="A101" s="6" t="inlineStr">
        <is>
          <t>NF-04</t>
        </is>
      </c>
      <c r="B101" s="6" t="inlineStr">
        <is>
          <t>Non-functional</t>
        </is>
      </c>
      <c r="C101" s="6" t="inlineStr">
        <is>
          <t>P1</t>
        </is>
      </c>
      <c r="D101" s="6" t="inlineStr">
        <is>
          <t>Keyboard-only</t>
        </is>
      </c>
      <c r="E101" s="6" t="inlineStr">
        <is>
          <t>-</t>
        </is>
      </c>
      <c r="F101" s="6" t="inlineStr">
        <is>
          <t>Tab through all controls</t>
        </is>
      </c>
      <c r="G101" s="6" t="inlineStr">
        <is>
          <t>All reachable; focus ring visible</t>
        </is>
      </c>
      <c r="H101" s="6" t="n"/>
      <c r="I101" s="6" t="n"/>
      <c r="J101" s="6" t="n"/>
      <c r="K101" s="6" t="n"/>
      <c r="L101" s="6" t="n"/>
      <c r="M101" s="6" t="n"/>
    </row>
    <row r="102">
      <c r="A102" s="6" t="inlineStr">
        <is>
          <t>NF-05</t>
        </is>
      </c>
      <c r="B102" s="6" t="inlineStr">
        <is>
          <t>Non-functional</t>
        </is>
      </c>
      <c r="C102" s="6" t="inlineStr">
        <is>
          <t>P1</t>
        </is>
      </c>
      <c r="D102" s="6" t="inlineStr">
        <is>
          <t>Mobile layout</t>
        </is>
      </c>
      <c r="E102" s="6" t="inlineStr">
        <is>
          <t>375px</t>
        </is>
      </c>
      <c r="F102" s="6" t="inlineStr">
        <is>
          <t>Every page</t>
        </is>
      </c>
      <c r="G102" s="6" t="inlineStr">
        <is>
          <t>No horizontal scroll; tables scroll in container</t>
        </is>
      </c>
      <c r="H102" s="6" t="n"/>
      <c r="I102" s="6" t="n"/>
      <c r="J102" s="6" t="n"/>
      <c r="K102" s="6" t="n"/>
      <c r="L102" s="6" t="n"/>
      <c r="M102" s="6" t="n"/>
    </row>
    <row r="103">
      <c r="A103" s="6" t="inlineStr">
        <is>
          <t>NF-06</t>
        </is>
      </c>
      <c r="B103" s="6" t="inlineStr">
        <is>
          <t>Non-functional</t>
        </is>
      </c>
      <c r="C103" s="6" t="inlineStr">
        <is>
          <t>P1</t>
        </is>
      </c>
      <c r="D103" s="6" t="inlineStr">
        <is>
          <t>Backend restart recovery</t>
        </is>
      </c>
      <c r="E103" s="6" t="inlineStr">
        <is>
          <t>UI open</t>
        </is>
      </c>
      <c r="F103" s="6" t="inlineStr">
        <is>
          <t>Restart backend; act</t>
        </is>
      </c>
      <c r="G103" s="6" t="inlineStr">
        <is>
          <t>Error toast then recovery; no white screen</t>
        </is>
      </c>
      <c r="H103" s="6" t="n"/>
      <c r="I103" s="6" t="n"/>
      <c r="J103" s="6" t="n"/>
      <c r="K103" s="6" t="n"/>
      <c r="L103" s="6" t="n"/>
      <c r="M103" s="6" t="n"/>
    </row>
    <row r="104">
      <c r="A104" s="6" t="inlineStr">
        <is>
          <t>NF-07</t>
        </is>
      </c>
      <c r="B104" s="6" t="inlineStr">
        <is>
          <t>Non-functional</t>
        </is>
      </c>
      <c r="C104" s="6" t="inlineStr">
        <is>
          <t>P2</t>
        </is>
      </c>
      <c r="D104" s="6" t="inlineStr">
        <is>
          <t>Reduced motion</t>
        </is>
      </c>
      <c r="E104" s="6" t="inlineStr">
        <is>
          <t>OS setting on</t>
        </is>
      </c>
      <c r="F104" s="6" t="inlineStr">
        <is>
          <t>Load app</t>
        </is>
      </c>
      <c r="G104" s="6" t="inlineStr">
        <is>
          <t>Animations effectively disabled</t>
        </is>
      </c>
      <c r="H104" s="6" t="n"/>
      <c r="I104" s="6" t="n"/>
      <c r="J104" s="6" t="n"/>
      <c r="K104" s="6" t="n"/>
      <c r="L104" s="6" t="n"/>
      <c r="M104" s="6" t="n"/>
    </row>
  </sheetData>
  <autoFilter ref="A1:M104"/>
  <conditionalFormatting sqref="H2:H30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304">
    <cfRule type="expression" priority="4" dxfId="3">
      <formula>$C2="P0"</formula>
    </cfRule>
  </conditionalFormatting>
  <dataValidations count="2">
    <dataValidation sqref="H2:H304" showDropDown="0" showInputMessage="0" showErrorMessage="0" allowBlank="1" type="list">
      <formula1>"Pass,Fail,Blocked,Not run"</formula1>
    </dataValidation>
    <dataValidation sqref="C2:C304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6" customWidth="1" min="3" max="3"/>
  </cols>
  <sheetData>
    <row r="1">
      <c r="A1" s="5" t="inlineStr">
        <is>
          <t>File / asset</t>
        </is>
      </c>
      <c r="B1" s="5" t="inlineStr">
        <is>
          <t>Contents</t>
        </is>
      </c>
      <c r="C1" s="5" t="inlineStr">
        <is>
          <t>Expected behaviour</t>
        </is>
      </c>
    </row>
    <row r="2">
      <c r="A2" s="6" t="inlineStr">
        <is>
          <t>strong.pdf</t>
        </is>
      </c>
      <c r="B2" s="6" t="inlineStr">
        <is>
          <t>All must-haves, 7+ yrs via date ranges</t>
        </is>
      </c>
      <c r="C2" s="6" t="inlineStr">
        <is>
          <t>Ranks #1; score ≥ 75; all must-haves matched</t>
        </is>
      </c>
    </row>
    <row r="3">
      <c r="A3" s="6" t="inlineStr">
        <is>
          <t>partial.pdf</t>
        </is>
      </c>
      <c r="B3" s="6" t="inlineStr">
        <is>
          <t>Classical ML; missing LLM/RAG/prompt/OpenAI-Claude</t>
        </is>
      </c>
      <c r="C3" s="6" t="inlineStr">
        <is>
          <t>Lower half; missing must-haves with +points</t>
        </is>
      </c>
    </row>
    <row r="4">
      <c r="A4" s="6" t="inlineStr">
        <is>
          <t>weak.docx</t>
        </is>
      </c>
      <c r="B4" s="6" t="inlineStr">
        <is>
          <t>Sales profile, incidental Excel/SQL</t>
        </is>
      </c>
      <c r="C4" s="6" t="inlineStr">
        <is>
          <t>Score &lt; 40</t>
        </is>
      </c>
    </row>
    <row r="5">
      <c r="A5" s="6" t="inlineStr">
        <is>
          <t>alt-a.pdf / alt-b.pdf</t>
        </is>
      </c>
      <c r="B5" s="6" t="inlineStr">
        <is>
          <t>TensorFlow-only vs PyTorch-only</t>
        </is>
      </c>
      <c r="C5" s="6" t="inlineStr">
        <is>
          <t>Both satisfy 'TensorFlow or PyTorch'</t>
        </is>
      </c>
    </row>
    <row r="6">
      <c r="A6" s="6" t="inlineStr">
        <is>
          <t>student.pdf</t>
        </is>
      </c>
      <c r="B6" s="6" t="inlineStr">
        <is>
          <t>Education 2022–2026 + internship May–Aug 2025</t>
        </is>
      </c>
      <c r="C6" s="6" t="inlineStr">
        <is>
          <t>Experience ≈ 0.3y; headline names internship</t>
        </is>
      </c>
    </row>
    <row r="7">
      <c r="A7" s="6" t="inlineStr">
        <is>
          <t>typo.txt</t>
        </is>
      </c>
      <c r="B7" s="6" t="inlineStr">
        <is>
          <t>Pyhton / Kubernets / Tensorflw</t>
        </is>
      </c>
      <c r="C7" s="6" t="inlineStr">
        <is>
          <t>Fuzzy-matched</t>
        </is>
      </c>
    </row>
    <row r="8">
      <c r="A8" s="6" t="inlineStr">
        <is>
          <t>notresume.pdf</t>
        </is>
      </c>
      <c r="B8" s="6" t="inlineStr">
        <is>
          <t>Hostel leaving letter</t>
        </is>
      </c>
      <c r="C8" s="6" t="inlineStr">
        <is>
          <t>Flagged not-a-resume, excluded</t>
        </is>
      </c>
    </row>
    <row r="9">
      <c r="A9" s="6" t="inlineStr">
        <is>
          <t>dup1.pdf + dup2.pdf</t>
        </is>
      </c>
      <c r="B9" s="6" t="inlineStr">
        <is>
          <t>Identical content</t>
        </is>
      </c>
      <c r="C9" s="6" t="inlineStr">
        <is>
          <t>Second reported duplicate</t>
        </is>
      </c>
    </row>
    <row r="10">
      <c r="A10" s="6" t="inlineStr">
        <is>
          <t>same-person.pdf</t>
        </is>
      </c>
      <c r="B10" s="6" t="inlineStr">
        <is>
          <t>Same email as strong.pdf</t>
        </is>
      </c>
      <c r="C10" s="6" t="inlineStr">
        <is>
          <t>'possible duplicate' badge</t>
        </is>
      </c>
    </row>
    <row r="11">
      <c r="A11" s="6" t="inlineStr">
        <is>
          <t>scanned.pdf</t>
        </is>
      </c>
      <c r="B11" s="6" t="inlineStr">
        <is>
          <t>Image-only PDF</t>
        </is>
      </c>
      <c r="C11" s="6" t="inlineStr">
        <is>
          <t>Error: no extractable text</t>
        </is>
      </c>
    </row>
    <row r="12">
      <c r="A12" s="6" t="inlineStr">
        <is>
          <t>big.pdf</t>
        </is>
      </c>
      <c r="B12" s="6" t="inlineStr">
        <is>
          <t>&gt; 15 MB</t>
        </is>
      </c>
      <c r="C12" s="6" t="inlineStr">
        <is>
          <t>413 rejected</t>
        </is>
      </c>
    </row>
    <row r="13">
      <c r="A13" s="6" t="inlineStr">
        <is>
          <t>bad.pdf</t>
        </is>
      </c>
      <c r="B13" s="6" t="inlineStr">
        <is>
          <t>Random bytes</t>
        </is>
      </c>
      <c r="C13" s="6" t="inlineStr">
        <is>
          <t>Error entry; batch completes</t>
        </is>
      </c>
    </row>
    <row r="14">
      <c r="A14" s="6" t="inlineStr">
        <is>
          <t>jd-good.txt / jd-bad.txt / jd-nontech.txt</t>
        </is>
      </c>
      <c r="B14" s="6" t="inlineStr">
        <is>
          <t>JDs</t>
        </is>
      </c>
      <c r="C14" s="6" t="inlineStr">
        <is>
          <t>Grade A/B · D · non-tech requirement extraction</t>
        </is>
      </c>
    </row>
    <row r="15">
      <c r="A15" s="6" t="inlineStr">
        <is>
          <t>Gmail label QA-Applications</t>
        </is>
      </c>
      <c r="B15" s="6" t="inlineStr">
        <is>
          <t>3 resume emails (one with 2 attachments), 1 non-resume, 1 no attachment — all unread</t>
        </is>
      </c>
      <c r="C15" s="6" t="inlineStr">
        <is>
          <t>GM-06 expectations</t>
        </is>
      </c>
    </row>
    <row r="18">
      <c r="A18" s="2" t="inlineStr">
        <is>
          <t>Generate with: backend\venv\Scripts\python.exe scripts\make_test_data.py  → ./test-data/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0" customWidth="1" min="2" max="2"/>
    <col width="12" customWidth="1" min="3" max="3"/>
    <col width="40" customWidth="1" min="4" max="4"/>
  </cols>
  <sheetData>
    <row r="1">
      <c r="A1" s="5" t="inlineStr">
        <is>
          <t>#</t>
        </is>
      </c>
      <c r="B1" s="5" t="inlineStr">
        <is>
          <t>Check</t>
        </is>
      </c>
      <c r="C1" s="5" t="inlineStr">
        <is>
          <t>Status</t>
        </is>
      </c>
      <c r="D1" s="5" t="inlineStr">
        <is>
          <t>Notes</t>
        </is>
      </c>
    </row>
    <row r="2">
      <c r="A2" s="7" t="n">
        <v>1</v>
      </c>
      <c r="B2" s="7" t="inlineStr">
        <is>
          <t>GET /api/ready → semantic_model: ready</t>
        </is>
      </c>
      <c r="C2" s="7" t="n"/>
      <c r="D2" s="7" t="n"/>
    </row>
    <row r="3">
      <c r="A3" s="7" t="n">
        <v>2</v>
      </c>
      <c r="B3" s="7" t="inlineStr">
        <is>
          <t>Sign in → dashboard loads, no console errors</t>
        </is>
      </c>
      <c r="C3" s="7" t="n"/>
      <c r="D3" s="7" t="n"/>
    </row>
    <row r="4">
      <c r="A4" s="7" t="n">
        <v>3</v>
      </c>
      <c r="B4" s="7" t="inlineStr">
        <is>
          <t>Upload strong.pdf + notresume.pdf with JD-GOOD → strong ranked, notresume flagged</t>
        </is>
      </c>
      <c r="C4" s="7" t="n"/>
      <c r="D4" s="7" t="n"/>
    </row>
    <row r="5">
      <c r="A5" s="7" t="n">
        <v>4</v>
      </c>
      <c r="B5" s="7" t="inlineStr">
        <is>
          <t>Set a status + note → reload → still there</t>
        </is>
      </c>
      <c r="C5" s="7" t="n"/>
      <c r="D5" s="7" t="n"/>
    </row>
    <row r="6">
      <c r="A6" s="7" t="n">
        <v>5</v>
      </c>
      <c r="B6" s="7" t="inlineStr">
        <is>
          <t>Export Excel opens with Status/Notes columns</t>
        </is>
      </c>
      <c r="C6" s="7" t="n"/>
      <c r="D6" s="7" t="n"/>
    </row>
    <row r="7">
      <c r="A7" s="7" t="n">
        <v>6</v>
      </c>
      <c r="B7" s="7" t="inlineStr">
        <is>
          <t>Gmail: labels load; screen QA-Applications (Unread only off) returns candidates</t>
        </is>
      </c>
      <c r="C7" s="7" t="n"/>
      <c r="D7" s="7" t="n"/>
    </row>
    <row r="8">
      <c r="A8" s="7" t="n">
        <v>7</v>
      </c>
      <c r="B8" s="7" t="inlineStr">
        <is>
          <t>Toggle theme both ways</t>
        </is>
      </c>
      <c r="C8" s="7" t="n"/>
      <c r="D8" s="7" t="n"/>
    </row>
  </sheetData>
  <dataValidations count="1">
    <dataValidation sqref="C2:C8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30" customWidth="1" min="4" max="4"/>
    <col width="30" customWidth="1" min="5" max="5"/>
    <col width="40" customWidth="1" min="6" max="6"/>
    <col width="30" customWidth="1" min="7" max="7"/>
    <col width="30" customWidth="1" min="8" max="8"/>
    <col width="18" customWidth="1" min="9" max="9"/>
    <col width="22" customWidth="1" min="10" max="10"/>
    <col width="11" customWidth="1" min="11" max="11"/>
    <col width="12" customWidth="1" min="12" max="12"/>
    <col width="12" customWidth="1" min="13" max="13"/>
  </cols>
  <sheetData>
    <row r="1">
      <c r="A1" s="5" t="inlineStr">
        <is>
          <t>Bug ID</t>
        </is>
      </c>
      <c r="B1" s="5" t="inlineStr">
        <is>
          <t>Test case ID</t>
        </is>
      </c>
      <c r="C1" s="5" t="inlineStr">
        <is>
          <t>Severity</t>
        </is>
      </c>
      <c r="D1" s="5" t="inlineStr">
        <is>
          <t>Title</t>
        </is>
      </c>
      <c r="E1" s="5" t="inlineStr">
        <is>
          <t>Environment (browser/theme/viewport/backend version)</t>
        </is>
      </c>
      <c r="F1" s="5" t="inlineStr">
        <is>
          <t>Steps to reproduce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Request ID (X-Request-ID)</t>
        </is>
      </c>
      <c r="J1" s="5" t="inlineStr">
        <is>
          <t>Screenshot / log ref</t>
        </is>
      </c>
      <c r="K1" s="5" t="inlineStr">
        <is>
          <t>Status</t>
        </is>
      </c>
      <c r="L1" s="5" t="inlineStr">
        <is>
          <t>Owner</t>
        </is>
      </c>
      <c r="M1" s="5" t="inlineStr">
        <is>
          <t>Fixed in</t>
        </is>
      </c>
    </row>
  </sheetData>
  <dataValidations count="2">
    <dataValidation sqref="C2:C300" showDropDown="0" showInputMessage="0" showErrorMessage="0" allowBlank="1" type="list">
      <formula1>"P0,P1,P2"</formula1>
    </dataValidation>
    <dataValidation sqref="K2:K300" showDropDown="0" showInputMessage="0" showErrorMessage="0" allowBlank="1" type="list">
      <formula1>"Open,In progress,Fixed,Verified,Won't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2026-09-02T08:28:26Z</dcterms:created>
  <dcterms:modified xmlns:dcterms="http://purl.org/dc/terms/" xmlns:xsi="http://www.w3.org/2001/XMLSchema-instance" xsi:type="dcterms:W3CDTF">2026-09-02T08:28:26Z</dcterms:modified>
</cp:coreProperties>
</file>